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quisitos Funcionales" sheetId="2" state="visible" r:id="rId2"/>
    <sheet xmlns:r="http://schemas.openxmlformats.org/officeDocument/2006/relationships" name="Requisitos No Funcionales" sheetId="3" state="visible" r:id="rId3"/>
    <sheet xmlns:r="http://schemas.openxmlformats.org/officeDocument/2006/relationships" name="EDT" sheetId="4" state="visible" r:id="rId4"/>
    <sheet xmlns:r="http://schemas.openxmlformats.org/officeDocument/2006/relationships" name="Cronograma por Fases" sheetId="5" state="visible" r:id="rId5"/>
    <sheet xmlns:r="http://schemas.openxmlformats.org/officeDocument/2006/relationships" name="Stack Tecnológico" sheetId="6" state="visible" r:id="rId6"/>
    <sheet xmlns:r="http://schemas.openxmlformats.org/officeDocument/2006/relationships" name="Entorno Local" sheetId="7" state="visible" r:id="rId7"/>
    <sheet xmlns:r="http://schemas.openxmlformats.org/officeDocument/2006/relationships" name="Pendientes S10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A2B4C"/>
      <sz val="16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1A2B4C"/>
      <sz val="10"/>
    </font>
    <font>
      <name val="Arial"/>
      <charset val="1"/>
      <family val="0"/>
      <color rgb="FF222222"/>
      <sz val="10"/>
    </font>
    <font>
      <name val="Arial"/>
      <charset val="1"/>
      <family val="0"/>
      <b val="1"/>
      <color rgb="FF1A2B4C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1E7E34"/>
      <sz val="10"/>
    </font>
    <font>
      <name val="Arial"/>
      <charset val="1"/>
      <family val="0"/>
      <b val="1"/>
      <color rgb="FFB8860B"/>
      <sz val="10"/>
    </font>
    <font>
      <name val="Arial"/>
      <charset val="1"/>
      <family val="0"/>
      <b val="1"/>
      <color rgb="FF777777"/>
      <sz val="10"/>
    </font>
    <font>
      <name val="Arial"/>
      <b val="1"/>
      <color rgb="FF777777"/>
      <sz val="10"/>
    </font>
  </fonts>
  <fills count="4">
    <fill>
      <patternFill/>
    </fill>
    <fill>
      <patternFill patternType="gray125"/>
    </fill>
    <fill>
      <patternFill patternType="solid">
        <fgColor rgb="FFF2F4F7"/>
        <bgColor rgb="FFFFFFFF"/>
      </patternFill>
    </fill>
    <fill>
      <patternFill patternType="solid">
        <fgColor rgb="FF1A2B4C"/>
        <bgColor rgb="FF22222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B8860B"/>
      <rgbColor rgb="FF800080"/>
      <rgbColor rgb="FF008080"/>
      <rgbColor rgb="FFCCCCCC"/>
      <rgbColor rgb="FF777777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2B4C"/>
      <rgbColor rgb="FF339966"/>
      <rgbColor rgb="FF003300"/>
      <rgbColor rgb="FF333300"/>
      <rgbColor rgb="FFC0392B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2:G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3" customWidth="1" style="16" min="1" max="1"/>
    <col width="34" customWidth="1" style="16" min="2" max="2"/>
    <col width="55" customWidth="1" style="16" min="3" max="3"/>
    <col width="14" customWidth="1" style="16" min="4" max="7"/>
    <col width="8.710000000000001" customWidth="1" style="16" min="8" max="26"/>
  </cols>
  <sheetData>
    <row r="2" ht="19.5" customHeight="1" s="17">
      <c r="B2" s="18" t="inlineStr">
        <is>
          <t>Requerimientos del Proyecto — Metodología Clásica (Cascada)</t>
        </is>
      </c>
    </row>
    <row r="3" ht="15" customHeight="1" s="17">
      <c r="B3" s="19" t="inlineStr">
        <is>
          <t>Chatbot de Soporte Genérico Alloxentric — Capstone PTY4614, Duoc UC</t>
        </is>
      </c>
    </row>
    <row r="4" ht="15" customHeight="1" s="17">
      <c r="B4" s="19" t="inlineStr">
        <is>
          <t>Versión alternativa del Excel de requerimientos, usando ciclo de vida en cascada (SDLC clásico) en vez de Scrum. El proyecto se desarrolla y ejecuta 100% en local, sin servicios en la nube. Estados actualizados en la semana 10 (13 de octubre de 2026): motor RAG real, roles, ciclo del ticket con encuesta, chat público y rate limiting; ver la hoja "Pendientes S10".</t>
        </is>
      </c>
    </row>
    <row r="6" ht="15" customHeight="1" s="17">
      <c r="B6" s="20" t="inlineStr">
        <is>
          <t>Metodología</t>
        </is>
      </c>
      <c r="C6" s="21" t="inlineStr">
        <is>
          <t>Cascada (Waterfall) — fases secuenciales con entregables verificables al cierre de cada una</t>
        </is>
      </c>
      <c r="D6" s="22" t="n"/>
      <c r="E6" s="22" t="n"/>
      <c r="F6" s="22" t="n"/>
      <c r="G6" s="23" t="n"/>
    </row>
    <row r="7" ht="15" customHeight="1" s="17">
      <c r="B7" s="20" t="inlineStr">
        <is>
          <t>Fases del proyecto</t>
        </is>
      </c>
      <c r="C7" s="21" t="inlineStr">
        <is>
          <t>1. Análisis · 2. Diseño · 3. Configuración del Entorno Local · 4. Desarrollo · 5. Pruebas · 6. Implementación y Cierre</t>
        </is>
      </c>
      <c r="D7" s="22" t="n"/>
      <c r="E7" s="22" t="n"/>
      <c r="F7" s="22" t="n"/>
      <c r="G7" s="23" t="n"/>
    </row>
    <row r="8" ht="15" customHeight="1" s="17">
      <c r="B8" s="20" t="inlineStr">
        <is>
          <t>Equipo</t>
        </is>
      </c>
      <c r="C8" s="21" t="inlineStr">
        <is>
          <t>Fabián Armijo, Vicente Balladares</t>
        </is>
      </c>
      <c r="D8" s="22" t="n"/>
      <c r="E8" s="22" t="n"/>
      <c r="F8" s="22" t="n"/>
      <c r="G8" s="23" t="n"/>
    </row>
    <row r="9" ht="15" customHeight="1" s="17">
      <c r="B9" s="20" t="inlineStr">
        <is>
          <t>Cronograma base</t>
        </is>
      </c>
      <c r="C9" s="21" t="inlineStr">
        <is>
          <t>Mismas semanas de la Carta Gantt revisada (S1-S17); ver hoja "Cronograma por Fases"</t>
        </is>
      </c>
      <c r="D9" s="22" t="n"/>
      <c r="E9" s="22" t="n"/>
      <c r="F9" s="22" t="n"/>
      <c r="G9" s="23" t="n"/>
    </row>
    <row r="10" ht="15" customHeight="1" s="17">
      <c r="B10" s="20" t="inlineStr">
        <is>
          <t>Última actualización</t>
        </is>
      </c>
      <c r="C10" s="21" t="inlineStr">
        <is>
          <t>13 de octubre de 2026</t>
        </is>
      </c>
      <c r="D10" s="22" t="n"/>
      <c r="E10" s="22" t="n"/>
      <c r="F10" s="22" t="n"/>
      <c r="G10" s="23" t="n"/>
    </row>
    <row r="12" ht="15" customHeight="1" s="17">
      <c r="B12" s="24" t="inlineStr">
        <is>
          <t>Resumen de Requisitos</t>
        </is>
      </c>
    </row>
    <row r="14" ht="15" customHeight="1" s="17">
      <c r="B14" s="25" t="inlineStr">
        <is>
          <t>Métrica</t>
        </is>
      </c>
      <c r="C14" s="25" t="inlineStr">
        <is>
          <t>Valor</t>
        </is>
      </c>
    </row>
    <row r="15" ht="15" customHeight="1" s="17">
      <c r="B15" s="21" t="inlineStr">
        <is>
          <t>Total de requisitos funcionales</t>
        </is>
      </c>
      <c r="C15" s="26">
        <f>COUNTA('Requisitos Funcionales'!A5:A100)</f>
        <v/>
      </c>
    </row>
    <row r="16" ht="15" customHeight="1" s="17">
      <c r="B16" s="21" t="inlineStr">
        <is>
          <t>Requisitos funcionales — Prioridad Alta</t>
        </is>
      </c>
      <c r="C16" s="26">
        <f>COUNTIF('Requisitos Funcionales'!D5:D100,"Alta")</f>
        <v/>
      </c>
    </row>
    <row r="17" ht="23.25" customHeight="1" s="17">
      <c r="B17" s="21" t="inlineStr">
        <is>
          <t>Requisitos funcionales — Prioridad Media</t>
        </is>
      </c>
      <c r="C17" s="26">
        <f>COUNTIF('Requisitos Funcionales'!D5:D100,"Media")</f>
        <v/>
      </c>
    </row>
    <row r="18" ht="15" customHeight="1" s="17">
      <c r="B18" s="21" t="inlineStr">
        <is>
          <t>Requisitos funcionales — Prioridad Baja</t>
        </is>
      </c>
      <c r="C18" s="26">
        <f>COUNTIF('Requisitos Funcionales'!D5:D100,"Baja")</f>
        <v/>
      </c>
    </row>
    <row r="19" ht="15" customHeight="1" s="17">
      <c r="B19" s="21" t="inlineStr">
        <is>
          <t>Requisitos en estado 'Hecho'</t>
        </is>
      </c>
      <c r="C19" s="26">
        <f>COUNTIF('Requisitos Funcionales'!H5:H100,"Hecho")</f>
        <v/>
      </c>
    </row>
    <row r="20" ht="15" customHeight="1" s="17">
      <c r="B20" s="21" t="inlineStr">
        <is>
          <t>Requisitos en estado 'En curso'</t>
        </is>
      </c>
      <c r="C20" s="26">
        <f>COUNTIF('Requisitos Funcionales'!H5:H100,"En curso")</f>
        <v/>
      </c>
    </row>
    <row r="21" ht="15.75" customHeight="1" s="17">
      <c r="B21" s="21" t="inlineStr">
        <is>
          <t>Requisitos 'Pendiente'</t>
        </is>
      </c>
      <c r="C21" s="26">
        <f>COUNTIF('Requisitos Funcionales'!H5:H100,"Pendiente")</f>
        <v/>
      </c>
    </row>
    <row r="22" ht="15.75" customHeight="1" s="17">
      <c r="B22" s="21" t="inlineStr">
        <is>
          <t>Total de requisitos no funcionales</t>
        </is>
      </c>
      <c r="C22" s="26">
        <f>COUNTA('Requisitos No Funcionales'!A5:A100)</f>
        <v/>
      </c>
    </row>
    <row r="23" ht="15.75" customHeight="1" s="17">
      <c r="B23" s="21" t="inlineStr">
        <is>
          <t>Total de tareas en la EDT</t>
        </is>
      </c>
      <c r="C23" s="26">
        <f>COUNTA(EDT!A5:A100)</f>
        <v/>
      </c>
    </row>
    <row r="24" ht="15.75" customHeight="1" s="17"/>
    <row r="25" ht="15.75" customHeight="1" s="17">
      <c r="B25" s="24" t="inlineStr">
        <is>
          <t>Requisitos funcionales por fase</t>
        </is>
      </c>
    </row>
    <row r="26" ht="15.75" customHeight="1" s="17"/>
    <row r="27" ht="15.75" customHeight="1" s="17">
      <c r="B27" s="25" t="inlineStr">
        <is>
          <t>Fase</t>
        </is>
      </c>
      <c r="C27" s="25" t="inlineStr">
        <is>
          <t>Cantidad de requisitos</t>
        </is>
      </c>
    </row>
    <row r="28" ht="15.75" customHeight="1" s="17">
      <c r="B28" s="21" t="inlineStr">
        <is>
          <t>1. Análisis</t>
        </is>
      </c>
      <c r="C28" s="26">
        <f>COUNTIF('Requisitos Funcionales'!E5:E100,"1. Análisis")</f>
        <v/>
      </c>
    </row>
    <row r="29" ht="15.75" customHeight="1" s="17">
      <c r="B29" s="21" t="inlineStr">
        <is>
          <t>2. Diseño</t>
        </is>
      </c>
      <c r="C29" s="26">
        <f>COUNTIF('Requisitos Funcionales'!E5:E100,"2. Diseño")</f>
        <v/>
      </c>
    </row>
    <row r="30" ht="15.75" customHeight="1" s="17">
      <c r="B30" s="21" t="inlineStr">
        <is>
          <t>3. Configuración del Entorno Local</t>
        </is>
      </c>
      <c r="C30" s="26">
        <f>COUNTIF('Requisitos Funcionales'!E5:E100,"3. Configuración del Entorno Local")</f>
        <v/>
      </c>
    </row>
    <row r="31" ht="15.75" customHeight="1" s="17">
      <c r="B31" s="21" t="inlineStr">
        <is>
          <t>4. Desarrollo</t>
        </is>
      </c>
      <c r="C31" s="26">
        <f>COUNTIF('Requisitos Funcionales'!E5:E100,"4. Desarrollo")</f>
        <v/>
      </c>
    </row>
    <row r="32" ht="15.75" customHeight="1" s="17">
      <c r="B32" s="21" t="inlineStr">
        <is>
          <t>5. Pruebas</t>
        </is>
      </c>
      <c r="C32" s="26">
        <f>COUNTIF('Requisitos Funcionales'!E5:E100,"5. Pruebas")</f>
        <v/>
      </c>
    </row>
    <row r="33" ht="15.75" customHeight="1" s="17">
      <c r="B33" s="21" t="inlineStr">
        <is>
          <t>6. Implementación y Cierre</t>
        </is>
      </c>
      <c r="C33" s="26">
        <f>COUNTIF('Requisitos Funcionales'!E5:E100,"6. Implementación y Cierre")</f>
        <v/>
      </c>
    </row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5">
    <mergeCell ref="C7:G7"/>
    <mergeCell ref="C6:G6"/>
    <mergeCell ref="C10:G10"/>
    <mergeCell ref="C8:G8"/>
    <mergeCell ref="C9:G9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7" customWidth="1" style="16" min="1" max="1"/>
    <col width="22" customWidth="1" style="16" min="2" max="2"/>
    <col width="55" customWidth="1" style="16" min="3" max="3"/>
    <col width="10" customWidth="1" style="16" min="4" max="4"/>
    <col width="26" customWidth="1" style="16" min="5" max="5"/>
    <col width="34" customWidth="1" style="16" min="6" max="6"/>
    <col width="12" customWidth="1" style="16" min="7" max="8"/>
    <col width="8.710000000000001" customWidth="1" style="16" min="9" max="26"/>
  </cols>
  <sheetData>
    <row r="1" ht="19.5" customHeight="1" s="17">
      <c r="A1" s="18" t="inlineStr">
        <is>
          <t>Especificación de Requisitos Funcionales</t>
        </is>
      </c>
    </row>
    <row r="2" ht="15" customHeight="1" s="17">
      <c r="A2" s="19" t="n"/>
    </row>
    <row r="4" ht="15" customHeight="1" s="17">
      <c r="A4" s="25" t="inlineStr">
        <is>
          <t>ID</t>
        </is>
      </c>
      <c r="B4" s="25" t="inlineStr">
        <is>
          <t>Módulo</t>
        </is>
      </c>
      <c r="C4" s="25" t="inlineStr">
        <is>
          <t>Descripción</t>
        </is>
      </c>
      <c r="D4" s="25" t="inlineStr">
        <is>
          <t>Prioridad</t>
        </is>
      </c>
      <c r="E4" s="25" t="inlineStr">
        <is>
          <t>Fase</t>
        </is>
      </c>
      <c r="F4" s="25" t="inlineStr">
        <is>
          <t>Entregable asociado</t>
        </is>
      </c>
      <c r="G4" s="25" t="inlineStr">
        <is>
          <t>Responsable</t>
        </is>
      </c>
      <c r="H4" s="25" t="inlineStr">
        <is>
          <t>Estado</t>
        </is>
      </c>
    </row>
    <row r="5" ht="48" customHeight="1" s="17">
      <c r="A5" s="27" t="inlineStr">
        <is>
          <t>RF-01</t>
        </is>
      </c>
      <c r="B5" s="27" t="inlineStr">
        <is>
          <t>Modelo de datos</t>
        </is>
      </c>
      <c r="C5" s="21" t="inlineStr">
        <is>
          <t>El sistema debe contar con un modelo de datos multi-tenant (empresas, documentos, fragmentos_embeddings, conversaciones, mensajes, tickets), donde toda la información quede aislada por empresa.</t>
        </is>
      </c>
      <c r="D5" s="28" t="inlineStr">
        <is>
          <t>Alta</t>
        </is>
      </c>
      <c r="E5" s="27" t="inlineStr">
        <is>
          <t>4. Desarrollo</t>
        </is>
      </c>
      <c r="F5" s="21" t="inlineStr">
        <is>
          <t>Modelo de datos implementado (backend/app/models/)</t>
        </is>
      </c>
      <c r="G5" s="27" t="inlineStr">
        <is>
          <t>Vicente</t>
        </is>
      </c>
      <c r="H5" s="29" t="inlineStr">
        <is>
          <t>Hecho</t>
        </is>
      </c>
    </row>
    <row r="6" ht="48" customHeight="1" s="17">
      <c r="A6" s="27" t="inlineStr">
        <is>
          <t>RF-02</t>
        </is>
      </c>
      <c r="B6" s="27" t="inlineStr">
        <is>
          <t>Modelo de datos</t>
        </is>
      </c>
      <c r="C6" s="21" t="inlineStr">
        <is>
          <t>El sistema debe versionar los cambios de esquema de base de datos mediante migraciones (Alembic), incluyendo la activación de la extensión pgvector.</t>
        </is>
      </c>
      <c r="D6" s="28" t="inlineStr">
        <is>
          <t>Alta</t>
        </is>
      </c>
      <c r="E6" s="27" t="inlineStr">
        <is>
          <t>4. Desarrollo</t>
        </is>
      </c>
      <c r="F6" s="21" t="inlineStr">
        <is>
          <t>Migraciones 0001-0005 aplicadas en PostgreSQL local; alembic check sin diferencias</t>
        </is>
      </c>
      <c r="G6" s="27" t="inlineStr">
        <is>
          <t>Vicente</t>
        </is>
      </c>
      <c r="H6" s="29" t="inlineStr">
        <is>
          <t>Hecho</t>
        </is>
      </c>
    </row>
    <row r="7" ht="48" customHeight="1" s="17">
      <c r="A7" s="27" t="inlineStr">
        <is>
          <t>RF-03</t>
        </is>
      </c>
      <c r="B7" s="27" t="inlineStr">
        <is>
          <t>Plataforma base</t>
        </is>
      </c>
      <c r="C7" s="21" t="inlineStr">
        <is>
          <t>El sistema debe exponer endpoints para dar de alta y administrar empresas (solo superadmin) y usuarios de cada empresa, con su rol asignado (RF-28 y RF-30).</t>
        </is>
      </c>
      <c r="D7" s="28" t="inlineStr">
        <is>
          <t>Alta</t>
        </is>
      </c>
      <c r="E7" s="27" t="inlineStr">
        <is>
          <t>4. Desarrollo</t>
        </is>
      </c>
      <c r="F7" s="21" t="inlineStr">
        <is>
          <t>Endpoints CRUD de empresas y usuarios documentados en /docs</t>
        </is>
      </c>
      <c r="G7" s="27" t="inlineStr">
        <is>
          <t>Fabián</t>
        </is>
      </c>
      <c r="H7" s="29" t="inlineStr">
        <is>
          <t>Hecho</t>
        </is>
      </c>
    </row>
    <row r="8" ht="48" customHeight="1" s="17">
      <c r="A8" s="27" t="inlineStr">
        <is>
          <t>RF-04</t>
        </is>
      </c>
      <c r="B8" s="27" t="inlineStr">
        <is>
          <t>Ingesta de documentos</t>
        </is>
      </c>
      <c r="C8" s="21" t="inlineStr">
        <is>
          <t>El sistema debe permitir a una empresa cliente subir documentos (PDF, DOCX) y preguntas frecuentes para construir su base de conocimiento.</t>
        </is>
      </c>
      <c r="D8" s="28" t="inlineStr">
        <is>
          <t>Alta</t>
        </is>
      </c>
      <c r="E8" s="27" t="inlineStr">
        <is>
          <t>4. Desarrollo</t>
        </is>
      </c>
      <c r="F8" s="21" t="inlineStr">
        <is>
          <t>Carga de documentos (TXT, PDF, DOCX, FAQ, CSV) con validación de tipo y tamaño; almacenamiento por empresa en storage/</t>
        </is>
      </c>
      <c r="G8" s="27" t="inlineStr">
        <is>
          <t>Vicente</t>
        </is>
      </c>
      <c r="H8" s="29" t="inlineStr">
        <is>
          <t>Hecho</t>
        </is>
      </c>
    </row>
    <row r="9" ht="48" customHeight="1" s="17">
      <c r="A9" s="27" t="inlineStr">
        <is>
          <t>RF-05</t>
        </is>
      </c>
      <c r="B9" s="27" t="inlineStr">
        <is>
          <t>Ingesta de documentos</t>
        </is>
      </c>
      <c r="C9" s="21" t="inlineStr">
        <is>
          <t>El sistema debe dividir los documentos cargados en fragmentos y generar sus embeddings mediante un modelo local, asociados a la empresa correspondiente.</t>
        </is>
      </c>
      <c r="D9" s="28" t="inlineStr">
        <is>
          <t>Alta</t>
        </is>
      </c>
      <c r="E9" s="27" t="inlineStr">
        <is>
          <t>4. Desarrollo</t>
        </is>
      </c>
      <c r="F9" s="21" t="inlineStr">
        <is>
          <t>Pipeline funcional: un fragmento por párrafo y embeddings locales (paraphrase-multilingual-MiniLM-L12-v2, 384 dim) guardados con el modelo que los generó; reindexar.py</t>
        </is>
      </c>
      <c r="G9" s="27" t="inlineStr">
        <is>
          <t>Vicente</t>
        </is>
      </c>
      <c r="H9" s="29" t="inlineStr">
        <is>
          <t>Hecho</t>
        </is>
      </c>
    </row>
    <row r="10" ht="48" customHeight="1" s="17">
      <c r="A10" s="27" t="inlineStr">
        <is>
          <t>RF-06</t>
        </is>
      </c>
      <c r="B10" s="27" t="inlineStr">
        <is>
          <t>Ingesta de documentos</t>
        </is>
      </c>
      <c r="C10" s="21" t="inlineStr">
        <is>
          <t>El sistema debe procesar la ingesta de documentos en segundo plano, sin bloquear al usuario durante la carga.</t>
        </is>
      </c>
      <c r="D10" s="28" t="inlineStr">
        <is>
          <t>Media</t>
        </is>
      </c>
      <c r="E10" s="27" t="inlineStr">
        <is>
          <t>4. Desarrollo</t>
        </is>
      </c>
      <c r="F10" s="21" t="inlineStr">
        <is>
          <t>Hoy: BackgroundTasks de FastAPI (no bloquea al usuario). Pendiente: Celery + Redis (ver Pendientes S10)</t>
        </is>
      </c>
      <c r="G10" s="27" t="inlineStr">
        <is>
          <t>Vicente</t>
        </is>
      </c>
      <c r="H10" s="29" t="inlineStr">
        <is>
          <t>En curso</t>
        </is>
      </c>
    </row>
    <row r="11" ht="48" customHeight="1" s="17">
      <c r="A11" s="27" t="inlineStr">
        <is>
          <t>RF-07</t>
        </is>
      </c>
      <c r="B11" s="27" t="inlineStr">
        <is>
          <t>Motor conversacional</t>
        </is>
      </c>
      <c r="C11" s="21" t="inlineStr">
        <is>
          <t>El sistema debe generar respuestas a las consultas del usuario final basándose en el conocimiento de su empresa (RAG).</t>
        </is>
      </c>
      <c r="D11" s="28" t="inlineStr">
        <is>
          <t>Alta</t>
        </is>
      </c>
      <c r="E11" s="27" t="inlineStr">
        <is>
          <t>4. Desarrollo</t>
        </is>
      </c>
      <c r="F11" s="21" t="inlineStr">
        <is>
          <t>Motor RAG real: búsqueda vectorial por empresa, umbral por empresa y respuesta con DeepSeek o extractiva; calibrado con 45 preguntas (fuente correcta 96 %, AUC 0.93)</t>
        </is>
      </c>
      <c r="G11" s="27" t="inlineStr">
        <is>
          <t>Vicente</t>
        </is>
      </c>
      <c r="H11" s="29" t="inlineStr">
        <is>
          <t>Hecho</t>
        </is>
      </c>
    </row>
    <row r="12" ht="48" customHeight="1" s="17">
      <c r="A12" s="27" t="inlineStr">
        <is>
          <t>RF-08</t>
        </is>
      </c>
      <c r="B12" s="27" t="inlineStr">
        <is>
          <t>Motor conversacional</t>
        </is>
      </c>
      <c r="C12" s="21" t="inlineStr">
        <is>
          <t>El sistema debe determinar, mediante un clasificador, si puede responder una consulta o si debe derivarla a un agente humano.</t>
        </is>
      </c>
      <c r="D12" s="28" t="inlineStr">
        <is>
          <t>Alta</t>
        </is>
      </c>
      <c r="E12" s="27" t="inlineStr">
        <is>
          <t>4. Desarrollo</t>
        </is>
      </c>
      <c r="F12" s="21" t="inlineStr">
        <is>
          <t>Intención por reglas (humano / saludo / gracias / despedida / consulta) más decisión por umbral de confianza; un saludo ya no genera ticket</t>
        </is>
      </c>
      <c r="G12" s="27" t="inlineStr">
        <is>
          <t>Vicente</t>
        </is>
      </c>
      <c r="H12" s="29" t="inlineStr">
        <is>
          <t>Hecho</t>
        </is>
      </c>
    </row>
    <row r="13" ht="48" customHeight="1" s="17">
      <c r="A13" s="27" t="inlineStr">
        <is>
          <t>RF-09</t>
        </is>
      </c>
      <c r="B13" s="27" t="inlineStr">
        <is>
          <t>Motor conversacional</t>
        </is>
      </c>
      <c r="C13" s="21" t="inlineStr">
        <is>
          <t>El sistema debe conectarse a la API de DeepSeek para generar las respuestas en lenguaje natural.</t>
        </is>
      </c>
      <c r="D13" s="28" t="inlineStr">
        <is>
          <t>Alta</t>
        </is>
      </c>
      <c r="E13" s="27" t="inlineStr">
        <is>
          <t>4. Desarrollo</t>
        </is>
      </c>
      <c r="F13" s="21" t="inlineStr">
        <is>
          <t>Cliente DeepSeek implementado y probado con un LLM simulado, con respaldo extractivo si falla; falta la prueba en vivo (aún sin API key)</t>
        </is>
      </c>
      <c r="G13" s="27" t="inlineStr">
        <is>
          <t>Vicente</t>
        </is>
      </c>
      <c r="H13" s="29" t="inlineStr">
        <is>
          <t>En curso</t>
        </is>
      </c>
    </row>
    <row r="14" ht="48" customHeight="1" s="17">
      <c r="A14" s="27" t="inlineStr">
        <is>
          <t>RF-10</t>
        </is>
      </c>
      <c r="B14" s="27" t="inlineStr">
        <is>
          <t>Interfaz de chat</t>
        </is>
      </c>
      <c r="C14" s="21" t="inlineStr">
        <is>
          <t>El sistema debe ofrecer una interfaz de chat web donde el usuario final escriba su consulta y reciba la respuesta del bot.</t>
        </is>
      </c>
      <c r="D14" s="28" t="inlineStr">
        <is>
          <t>Alta</t>
        </is>
      </c>
      <c r="E14" s="27" t="inlineStr">
        <is>
          <t>4. Desarrollo</t>
        </is>
      </c>
      <c r="F14" s="21" t="inlineStr">
        <is>
          <t>Widget de chat funcional</t>
        </is>
      </c>
      <c r="G14" s="27" t="inlineStr">
        <is>
          <t>Fabián</t>
        </is>
      </c>
      <c r="H14" s="29" t="inlineStr">
        <is>
          <t>Hecho</t>
        </is>
      </c>
    </row>
    <row r="15" ht="48" customHeight="1" s="17">
      <c r="A15" s="27" t="inlineStr">
        <is>
          <t>RF-11</t>
        </is>
      </c>
      <c r="B15" s="27" t="inlineStr">
        <is>
          <t>Interfaz de chat</t>
        </is>
      </c>
      <c r="C15" s="21" t="inlineStr">
        <is>
          <t>El sistema debe indicar visualmente al usuario cuándo su conversación fue derivada a un agente humano.</t>
        </is>
      </c>
      <c r="D15" s="28" t="inlineStr">
        <is>
          <t>Media</t>
        </is>
      </c>
      <c r="E15" s="27" t="inlineStr">
        <is>
          <t>4. Desarrollo</t>
        </is>
      </c>
      <c r="F15" s="21" t="inlineStr">
        <is>
          <t>Estado de derivación visible en la interfaz</t>
        </is>
      </c>
      <c r="G15" s="27" t="inlineStr">
        <is>
          <t>Fabián</t>
        </is>
      </c>
      <c r="H15" s="29" t="inlineStr">
        <is>
          <t>Hecho</t>
        </is>
      </c>
    </row>
    <row r="16" ht="48" customHeight="1" s="17">
      <c r="A16" s="27" t="inlineStr">
        <is>
          <t>RF-12</t>
        </is>
      </c>
      <c r="B16" s="27" t="inlineStr">
        <is>
          <t>Derivación a Corestream</t>
        </is>
      </c>
      <c r="C16" s="21" t="inlineStr">
        <is>
          <t>El sistema debe crear un ticket en Corestream cuando el motor conversacional no pueda resolver una consulta.</t>
        </is>
      </c>
      <c r="D16" s="28" t="inlineStr">
        <is>
          <t>Alta</t>
        </is>
      </c>
      <c r="E16" s="27" t="inlineStr">
        <is>
          <t>4. Desarrollo</t>
        </is>
      </c>
      <c r="F16" s="21" t="inlineStr">
        <is>
          <t>Integración con la API de Corestream (o su mock)</t>
        </is>
      </c>
      <c r="G16" s="27" t="inlineStr">
        <is>
          <t>Fabián</t>
        </is>
      </c>
      <c r="H16" s="29" t="inlineStr">
        <is>
          <t>Hecho</t>
        </is>
      </c>
    </row>
    <row r="17" ht="48" customHeight="1" s="17">
      <c r="A17" s="27" t="inlineStr">
        <is>
          <t>RF-13</t>
        </is>
      </c>
      <c r="B17" s="27" t="inlineStr">
        <is>
          <t>Derivación a Corestream</t>
        </is>
      </c>
      <c r="C17" s="21" t="inlineStr">
        <is>
          <t>El sistema debe contar con un servicio simulado (mock) de Corestream para desarrollo y pruebas sin depender de credenciales reales.</t>
        </is>
      </c>
      <c r="D17" s="28" t="inlineStr">
        <is>
          <t>Alta</t>
        </is>
      </c>
      <c r="E17" s="27" t="inlineStr">
        <is>
          <t>4. Desarrollo</t>
        </is>
      </c>
      <c r="F17" s="21" t="inlineStr">
        <is>
          <t>Servicio mock activable vía CORESTREAM_MOCK</t>
        </is>
      </c>
      <c r="G17" s="27" t="inlineStr">
        <is>
          <t>Fabián</t>
        </is>
      </c>
      <c r="H17" s="29" t="inlineStr">
        <is>
          <t>Hecho</t>
        </is>
      </c>
    </row>
    <row r="18" ht="48" customHeight="1" s="17">
      <c r="A18" s="27" t="inlineStr">
        <is>
          <t>RF-14</t>
        </is>
      </c>
      <c r="B18" s="27" t="inlineStr">
        <is>
          <t>MVP — Vista Corestream</t>
        </is>
      </c>
      <c r="C18" s="21" t="inlineStr">
        <is>
          <t>El sistema debe ofrecer una consola donde el agente humano visualice los tickets derivados y su estado.</t>
        </is>
      </c>
      <c r="D18" s="28" t="inlineStr">
        <is>
          <t>Alta</t>
        </is>
      </c>
      <c r="E18" s="27" t="inlineStr">
        <is>
          <t>4. Desarrollo</t>
        </is>
      </c>
      <c r="F18" s="21" t="inlineStr">
        <is>
          <t>Vista de consola de soporte (frontend MVP)</t>
        </is>
      </c>
      <c r="G18" s="27" t="inlineStr">
        <is>
          <t>Fabián</t>
        </is>
      </c>
      <c r="H18" s="29" t="inlineStr">
        <is>
          <t>Hecho</t>
        </is>
      </c>
    </row>
    <row r="19" ht="48" customHeight="1" s="17">
      <c r="A19" s="27" t="inlineStr">
        <is>
          <t>RF-15</t>
        </is>
      </c>
      <c r="B19" s="27" t="inlineStr">
        <is>
          <t>MVP — Vista Corestream</t>
        </is>
      </c>
      <c r="C19" s="21" t="inlineStr">
        <is>
          <t>El sistema debe mostrar, en la consola de soporte, la transcripción completa de la conversación y una respuesta sugerida por IA.</t>
        </is>
      </c>
      <c r="D19" s="28" t="inlineStr">
        <is>
          <t>Media</t>
        </is>
      </c>
      <c r="E19" s="27" t="inlineStr">
        <is>
          <t>4. Desarrollo</t>
        </is>
      </c>
      <c r="F19" s="21" t="inlineStr">
        <is>
          <t>Detalle de ticket con transcripción completa y sugerencia de respuesta generada por el motor RAG</t>
        </is>
      </c>
      <c r="G19" s="27" t="inlineStr">
        <is>
          <t>Fabián</t>
        </is>
      </c>
      <c r="H19" s="29" t="inlineStr">
        <is>
          <t>Hecho</t>
        </is>
      </c>
    </row>
    <row r="20" ht="48" customHeight="1" s="17">
      <c r="A20" s="27" t="inlineStr">
        <is>
          <t>RF-16</t>
        </is>
      </c>
      <c r="B20" s="27" t="inlineStr">
        <is>
          <t>MVP — Vista despliegue de agentes</t>
        </is>
      </c>
      <c r="C20" s="21" t="inlineStr">
        <is>
          <t>El sistema debe ofrecer un panel de administración donde se configure y active el agente conversacional de cada empresa cliente.</t>
        </is>
      </c>
      <c r="D20" s="28" t="inlineStr">
        <is>
          <t>Alta</t>
        </is>
      </c>
      <c r="E20" s="27" t="inlineStr">
        <is>
          <t>4. Desarrollo</t>
        </is>
      </c>
      <c r="F20" s="21" t="inlineStr">
        <is>
          <t>Vista de panel de administración (frontend MVP)</t>
        </is>
      </c>
      <c r="G20" s="27" t="inlineStr">
        <is>
          <t>Fabián</t>
        </is>
      </c>
      <c r="H20" s="29" t="inlineStr">
        <is>
          <t>Hecho</t>
        </is>
      </c>
    </row>
    <row r="21" ht="48" customHeight="1" s="17">
      <c r="A21" s="27" t="inlineStr">
        <is>
          <t>RF-17</t>
        </is>
      </c>
      <c r="B21" s="27" t="inlineStr">
        <is>
          <t>MVP — Vista despliegue de agentes</t>
        </is>
      </c>
      <c r="C21" s="21" t="inlineStr">
        <is>
          <t>El sistema debe generar automáticamente un enlace único de chat embebible por cada empresa configurada.</t>
        </is>
      </c>
      <c r="D21" s="28" t="inlineStr">
        <is>
          <t>Media</t>
        </is>
      </c>
      <c r="E21" s="27" t="inlineStr">
        <is>
          <t>4. Desarrollo</t>
        </is>
      </c>
      <c r="F21" s="21" t="inlineStr">
        <is>
          <t>Enlace /chat/{slug} y snippet del widget (widget.min.js) visibles en el panel</t>
        </is>
      </c>
      <c r="G21" s="27" t="inlineStr">
        <is>
          <t>Fabián</t>
        </is>
      </c>
      <c r="H21" s="29" t="inlineStr">
        <is>
          <t>Hecho</t>
        </is>
      </c>
    </row>
    <row r="22" ht="48" customHeight="1" s="17">
      <c r="A22" s="27" t="inlineStr">
        <is>
          <t>RF-18</t>
        </is>
      </c>
      <c r="B22" s="27" t="inlineStr">
        <is>
          <t>Entorno local</t>
        </is>
      </c>
      <c r="C22" s="21" t="inlineStr">
        <is>
          <t>El proyecto debe contar con un entorno de desarrollo local reproducible (Python 3.11+, Node.js y Docker Compose) funcionando en ambas notebooks del equipo.</t>
        </is>
      </c>
      <c r="D22" s="28" t="inlineStr">
        <is>
          <t>Alta</t>
        </is>
      </c>
      <c r="E22" s="27" t="inlineStr">
        <is>
          <t>3. Configuración del Entorno Local</t>
        </is>
      </c>
      <c r="F22" s="21" t="inlineStr">
        <is>
          <t>Entorno validado en la notebook de Fabián en modo -SinDocker; falta validarlo con Docker y en la notebook de Vicente</t>
        </is>
      </c>
      <c r="G22" s="27" t="inlineStr">
        <is>
          <t>Ambos</t>
        </is>
      </c>
      <c r="H22" s="29" t="inlineStr">
        <is>
          <t>En curso</t>
        </is>
      </c>
    </row>
    <row r="23" ht="48" customHeight="1" s="17">
      <c r="A23" s="27" t="inlineStr">
        <is>
          <t>RF-19</t>
        </is>
      </c>
      <c r="B23" s="27" t="inlineStr">
        <is>
          <t>Entorno local</t>
        </is>
      </c>
      <c r="C23" s="21" t="inlineStr">
        <is>
          <t>El proyecto debe gestionar su configuración y credenciales mediante un archivo .env local (con .env.example en el repositorio), sin versionar secretos.</t>
        </is>
      </c>
      <c r="D23" s="28" t="inlineStr">
        <is>
          <t>Alta</t>
        </is>
      </c>
      <c r="E23" s="27" t="inlineStr">
        <is>
          <t>3. Configuración del Entorno Local</t>
        </is>
      </c>
      <c r="F23" s="21" t="inlineStr">
        <is>
          <t>.env.example en el repo, .env excluido por .gitignore; iniciar.ps1 genera el .env con claves aleatorias</t>
        </is>
      </c>
      <c r="G23" s="27" t="inlineStr">
        <is>
          <t>Ambos</t>
        </is>
      </c>
      <c r="H23" s="29" t="inlineStr">
        <is>
          <t>Hecho</t>
        </is>
      </c>
    </row>
    <row r="24" ht="48" customHeight="1" s="17">
      <c r="A24" s="27" t="inlineStr">
        <is>
          <t>RF-20</t>
        </is>
      </c>
      <c r="B24" s="27" t="inlineStr">
        <is>
          <t>Entorno local</t>
        </is>
      </c>
      <c r="C24" s="21" t="inlineStr">
        <is>
          <t>El proyecto debe contar con una instancia local de PostgreSQL con la extensión pgvector activada (contenedor Docker), con el mismo esquema en ambas notebooks mediante migraciones.</t>
        </is>
      </c>
      <c r="D24" s="28" t="inlineStr">
        <is>
          <t>Alta</t>
        </is>
      </c>
      <c r="E24" s="27" t="inlineStr">
        <is>
          <t>3. Configuración del Entorno Local</t>
        </is>
      </c>
      <c r="F24" s="21" t="inlineStr">
        <is>
          <t>Servicio pgvector/pgvector definido en docker-compose (puerto configurable con DB_PORT); validado con Postgres embebido; falta probarlo con Docker (índice HNSW)</t>
        </is>
      </c>
      <c r="G24" s="27" t="inlineStr">
        <is>
          <t>Ambos</t>
        </is>
      </c>
      <c r="H24" s="29" t="inlineStr">
        <is>
          <t>En curso</t>
        </is>
      </c>
    </row>
    <row r="25" ht="48" customHeight="1" s="17">
      <c r="A25" s="27" t="inlineStr">
        <is>
          <t>RF-21</t>
        </is>
      </c>
      <c r="B25" s="27" t="inlineStr">
        <is>
          <t>Entorno local</t>
        </is>
      </c>
      <c r="C25" s="21" t="inlineStr">
        <is>
          <t>El proyecto debe contar con una carpeta local privada para almacenar los documentos originales subidos por cada empresa, organizada por empresa y excluida del repositorio.</t>
        </is>
      </c>
      <c r="D25" s="28" t="inlineStr">
        <is>
          <t>Alta</t>
        </is>
      </c>
      <c r="E25" s="27" t="inlineStr">
        <is>
          <t>3. Configuración del Entorno Local</t>
        </is>
      </c>
      <c r="F25" s="21" t="inlineStr">
        <is>
          <t>Carpeta storage/ por empresa, en .gitignore</t>
        </is>
      </c>
      <c r="G25" s="27" t="inlineStr">
        <is>
          <t>Ambos</t>
        </is>
      </c>
      <c r="H25" s="29" t="inlineStr">
        <is>
          <t>Hecho</t>
        </is>
      </c>
    </row>
    <row r="26" ht="48" customHeight="1" s="17">
      <c r="A26" s="27" t="inlineStr">
        <is>
          <t>RF-22</t>
        </is>
      </c>
      <c r="B26" s="27" t="inlineStr">
        <is>
          <t>Entorno local</t>
        </is>
      </c>
      <c r="C26" s="21" t="inlineStr">
        <is>
          <t>El proyecto debe contar con una instancia local de Redis (contenedor Docker) para el procesamiento en segundo plano con Celery.</t>
        </is>
      </c>
      <c r="D26" s="28" t="inlineStr">
        <is>
          <t>Media</t>
        </is>
      </c>
      <c r="E26" s="27" t="inlineStr">
        <is>
          <t>3. Configuración del Entorno Local</t>
        </is>
      </c>
      <c r="F26" s="21" t="inlineStr">
        <is>
          <t>Redis definido en docker-compose; sin uso hasta implementar Celery (RF-06)</t>
        </is>
      </c>
      <c r="G26" s="27" t="inlineStr">
        <is>
          <t>Ambos</t>
        </is>
      </c>
      <c r="H26" s="29" t="inlineStr">
        <is>
          <t>Pendiente</t>
        </is>
      </c>
    </row>
    <row r="27" ht="48" customHeight="1" s="17">
      <c r="A27" s="27" t="inlineStr">
        <is>
          <t>RF-23</t>
        </is>
      </c>
      <c r="B27" s="27" t="inlineStr">
        <is>
          <t>Entorno local</t>
        </is>
      </c>
      <c r="C27" s="21" t="inlineStr">
        <is>
          <t>Los servicios locales (PostgreSQL y Redis) deben publicarse únicamente en localhost (127.0.0.1), sin exponerse a la red.</t>
        </is>
      </c>
      <c r="D27" s="28" t="inlineStr">
        <is>
          <t>Alta</t>
        </is>
      </c>
      <c r="E27" s="27" t="inlineStr">
        <is>
          <t>3. Configuración del Entorno Local</t>
        </is>
      </c>
      <c r="F27" s="21" t="inlineStr">
        <is>
          <t>Puertos publicados solo en 127.0.0.1 (docker-compose.yml)</t>
        </is>
      </c>
      <c r="G27" s="27" t="inlineStr">
        <is>
          <t>Ambos</t>
        </is>
      </c>
      <c r="H27" s="29" t="inlineStr">
        <is>
          <t>Hecho</t>
        </is>
      </c>
    </row>
    <row r="28" ht="48" customHeight="1" s="17">
      <c r="A28" s="27" t="inlineStr">
        <is>
          <t>RF-24</t>
        </is>
      </c>
      <c r="B28" s="27" t="inlineStr">
        <is>
          <t>Pruebas</t>
        </is>
      </c>
      <c r="C28" s="21" t="inlineStr">
        <is>
          <t>El sistema debe contar con pruebas unitarias para cada servicio de negocio (ingesta, motor RAG, derivación).</t>
        </is>
      </c>
      <c r="D28" s="28" t="inlineStr">
        <is>
          <t>Alta</t>
        </is>
      </c>
      <c r="E28" s="27" t="inlineStr">
        <is>
          <t>5. Pruebas</t>
        </is>
      </c>
      <c r="F28" s="21" t="inlineStr">
        <is>
          <t>90 pruebas pytest en backend/tests/ (ingesta, motor RAG, derivación, roles, ciclo del ticket, rate limiting), sin errores</t>
        </is>
      </c>
      <c r="G28" s="27" t="inlineStr">
        <is>
          <t>Ambos</t>
        </is>
      </c>
      <c r="H28" s="29" t="inlineStr">
        <is>
          <t>Hecho</t>
        </is>
      </c>
    </row>
    <row r="29" ht="48" customHeight="1" s="17">
      <c r="A29" s="27" t="inlineStr">
        <is>
          <t>RF-25</t>
        </is>
      </c>
      <c r="B29" s="27" t="inlineStr">
        <is>
          <t>Pruebas</t>
        </is>
      </c>
      <c r="C29" s="21" t="inlineStr">
        <is>
          <t>El sistema debe validarse mediante una prueba de aislamiento multi-tenant, que confirme que no se filtran datos entre empresas.</t>
        </is>
      </c>
      <c r="D29" s="28" t="inlineStr">
        <is>
          <t>Alta</t>
        </is>
      </c>
      <c r="E29" s="27" t="inlineStr">
        <is>
          <t>5. Pruebas</t>
        </is>
      </c>
      <c r="F29" s="21" t="inlineStr">
        <is>
          <t>Pruebas de aislamiento aprobadas: documentos, búsqueda vectorial, chat público, conversaciones y tickets por empresa</t>
        </is>
      </c>
      <c r="G29" s="27" t="inlineStr">
        <is>
          <t>Vicente</t>
        </is>
      </c>
      <c r="H29" s="29" t="inlineStr">
        <is>
          <t>Hecho</t>
        </is>
      </c>
    </row>
    <row r="30" ht="48" customHeight="1" s="17">
      <c r="A30" s="27" t="inlineStr">
        <is>
          <t>RF-26</t>
        </is>
      </c>
      <c r="B30" s="27" t="inlineStr">
        <is>
          <t>Pruebas</t>
        </is>
      </c>
      <c r="C30" s="21" t="inlineStr">
        <is>
          <t>El sistema debe validarse mediante una prueba de punta a punta que recorra el flujo completo: consulta, respuesta o derivación, y creación de ticket.</t>
        </is>
      </c>
      <c r="D30" s="28" t="inlineStr">
        <is>
          <t>Alta</t>
        </is>
      </c>
      <c r="E30" s="27" t="inlineStr">
        <is>
          <t>5. Pruebas</t>
        </is>
      </c>
      <c r="F30" s="21" t="inlineStr">
        <is>
          <t>49 verificaciones de punta a punta con Playwright (consola, chat, widget, roles, ciclo del ticket) más flujos en pytest</t>
        </is>
      </c>
      <c r="G30" s="27" t="inlineStr">
        <is>
          <t>Ambos</t>
        </is>
      </c>
      <c r="H30" s="29" t="inlineStr">
        <is>
          <t>Hecho</t>
        </is>
      </c>
    </row>
    <row r="31" ht="48" customHeight="1" s="17">
      <c r="A31" s="27" t="inlineStr">
        <is>
          <t>RF-27</t>
        </is>
      </c>
      <c r="B31" s="27" t="inlineStr">
        <is>
          <t>Documentación</t>
        </is>
      </c>
      <c r="C31" s="21" t="inlineStr">
        <is>
          <t>El proyecto debe entregar documentación técnica completa (arquitectura, modelo de datos, cronograma) y un manual básico de uso del sistema.</t>
        </is>
      </c>
      <c r="D31" s="28" t="inlineStr">
        <is>
          <t>Alta</t>
        </is>
      </c>
      <c r="E31" s="27" t="inlineStr">
        <is>
          <t>6. Implementación y Cierre</t>
        </is>
      </c>
      <c r="F31" s="21" t="inlineStr">
        <is>
          <t>docs/ (técnica, manual con capturas actualizadas, matriz de permisos, mapeo del front, diagramas); falta la versión final</t>
        </is>
      </c>
      <c r="G31" s="27" t="inlineStr">
        <is>
          <t>Ambos</t>
        </is>
      </c>
      <c r="H31" s="29" t="inlineStr">
        <is>
          <t>En curso</t>
        </is>
      </c>
    </row>
    <row r="32" ht="48" customHeight="1" s="17">
      <c r="A32" s="27" t="inlineStr">
        <is>
          <t>RF-28</t>
        </is>
      </c>
      <c r="B32" s="27" t="inlineStr">
        <is>
          <t>Plataforma base</t>
        </is>
      </c>
      <c r="C32" s="21" t="inlineStr">
        <is>
          <t>El sistema debe autenticar a los usuarios del panel (login con JWT, claves con hash PBKDF2) y proteger todos los endpoints de administración.</t>
        </is>
      </c>
      <c r="D32" s="28" t="inlineStr">
        <is>
          <t>Alta</t>
        </is>
      </c>
      <c r="E32" s="27" t="inlineStr">
        <is>
          <t>4. Desarrollo</t>
        </is>
      </c>
      <c r="F32" s="21" t="inlineStr">
        <is>
          <t>Login funcional; endpoints protegidos; 401 sin token válido</t>
        </is>
      </c>
      <c r="G32" s="27" t="inlineStr">
        <is>
          <t>Fabián</t>
        </is>
      </c>
      <c r="H32" s="29" t="inlineStr">
        <is>
          <t>Hecho</t>
        </is>
      </c>
    </row>
    <row r="33" ht="48" customHeight="1" s="17">
      <c r="A33" s="27" t="inlineStr">
        <is>
          <t>RF-29</t>
        </is>
      </c>
      <c r="B33" s="27" t="inlineStr">
        <is>
          <t>Interfaz de chat</t>
        </is>
      </c>
      <c r="C33" s="21" t="inlineStr">
        <is>
          <t>El sistema debe ofrecer un widget embebible (script JS) y una página pública de chat por empresa, que identifiquen al tenant por su slug (el endpoint con API key queda para integraciones propias).</t>
        </is>
      </c>
      <c r="D33" s="28" t="inlineStr">
        <is>
          <t>Media</t>
        </is>
      </c>
      <c r="E33" s="27" t="inlineStr">
        <is>
          <t>4. Desarrollo</t>
        </is>
      </c>
      <c r="F33" s="21" t="inlineStr">
        <is>
          <t>widget.min.js + página pública /chat/{slug} + endpoints /publico/{slug}; probado desde un sitio de otro origen</t>
        </is>
      </c>
      <c r="G33" s="27" t="inlineStr">
        <is>
          <t>Fabián</t>
        </is>
      </c>
      <c r="H33" s="29" t="inlineStr">
        <is>
          <t>Hecho</t>
        </is>
      </c>
    </row>
    <row r="34" ht="48" customHeight="1" s="17">
      <c r="A34" s="27" t="inlineStr">
        <is>
          <t>RF-30</t>
        </is>
      </c>
      <c r="B34" s="27" t="inlineStr">
        <is>
          <t>Plataforma base</t>
        </is>
      </c>
      <c r="C34" s="21" t="inlineStr">
        <is>
          <t>El sistema debe definir cuatro roles —superadmin, admin de empresa, encargado de tickets y encargado del agente IA— y autorizar cada acción según el rol, aislando siempre a los usuarios de empresa en los datos de su propia empresa.</t>
        </is>
      </c>
      <c r="D34" s="28" t="inlineStr">
        <is>
          <t>Alta</t>
        </is>
      </c>
      <c r="E34" s="27" t="inlineStr">
        <is>
          <t>4. Desarrollo</t>
        </is>
      </c>
      <c r="F34" s="21" t="inlineStr">
        <is>
          <t>Matriz de permisos implementada y probada (docs/MATRIZ_PERMISOS.md); 28 pruebas de roles</t>
        </is>
      </c>
      <c r="G34" s="27" t="inlineStr">
        <is>
          <t>Fabián</t>
        </is>
      </c>
      <c r="H34" s="29" t="inlineStr">
        <is>
          <t>Hecho</t>
        </is>
      </c>
    </row>
    <row r="35" ht="48" customHeight="1" s="17">
      <c r="A35" s="27" t="inlineStr">
        <is>
          <t>RF-31</t>
        </is>
      </c>
      <c r="B35" s="27" t="inlineStr">
        <is>
          <t>Interfaz de chat</t>
        </is>
      </c>
      <c r="C35" s="21" t="inlineStr">
        <is>
          <t>El sistema debe mostrar al cliente, en el mismo chat, la respuesta del agente humano tras la derivación (con recuperación de la conversación al recargar y aviso en el widget cerrado).</t>
        </is>
      </c>
      <c r="D35" s="28" t="inlineStr">
        <is>
          <t>Alta</t>
        </is>
      </c>
      <c r="E35" s="27" t="inlineStr">
        <is>
          <t>4. Desarrollo</t>
        </is>
      </c>
      <c r="F35" s="21" t="inlineStr">
        <is>
          <t>GET /publico/{slug}/conversaciones/{id}, sondeo cada 5 s y punto de aviso en el widget</t>
        </is>
      </c>
      <c r="G35" s="27" t="inlineStr">
        <is>
          <t>Fabián</t>
        </is>
      </c>
      <c r="H35" s="29" t="inlineStr">
        <is>
          <t>Hecho</t>
        </is>
      </c>
    </row>
    <row r="36" ht="48" customHeight="1" s="17">
      <c r="A36" s="27" t="inlineStr">
        <is>
          <t>RF-32</t>
        </is>
      </c>
      <c r="B36" s="27" t="inlineStr">
        <is>
          <t>Derivación a Corestream</t>
        </is>
      </c>
      <c r="C36" s="21" t="inlineStr">
        <is>
          <t>El sistema debe gestionar el ciclo de vida del ticket con una encuesta de resolución: el encargado responde y el cliente confirma; Sí cierra el ticket (no se reabre), No lo escala a gestión y sin respuesta en 72 h se cierra.</t>
        </is>
      </c>
      <c r="D36" s="28" t="inlineStr">
        <is>
          <t>Alta</t>
        </is>
      </c>
      <c r="E36" s="27" t="inlineStr">
        <is>
          <t>4. Desarrollo</t>
        </is>
      </c>
      <c r="F36" s="21" t="inlineStr">
        <is>
          <t>Estados esperando_cliente / cerrado / escalado; services/ciclo_ticket.py; 9 pruebas</t>
        </is>
      </c>
      <c r="G36" s="27" t="inlineStr">
        <is>
          <t>Fabián</t>
        </is>
      </c>
      <c r="H36" s="29" t="inlineStr">
        <is>
          <t>Hecho</t>
        </is>
      </c>
    </row>
    <row r="37" ht="48" customHeight="1" s="17">
      <c r="A37" s="27" t="inlineStr">
        <is>
          <t>RF-33</t>
        </is>
      </c>
      <c r="B37" s="27" t="inlineStr">
        <is>
          <t>MVP — Vista Corestream</t>
        </is>
      </c>
      <c r="C37" s="21" t="inlineStr">
        <is>
          <t>El sistema debe permitir asignar un ticket solo a usuarios activos de la misma empresa y registrar como remitente de la respuesta al usuario autenticado.</t>
        </is>
      </c>
      <c r="D37" s="28" t="inlineStr">
        <is>
          <t>Media</t>
        </is>
      </c>
      <c r="E37" s="27" t="inlineStr">
        <is>
          <t>4. Desarrollo</t>
        </is>
      </c>
      <c r="F37" s="21" t="inlineStr">
        <is>
          <t>GET /tickets/agentes; asignación validada por empresa; migración 0003</t>
        </is>
      </c>
      <c r="G37" s="27" t="inlineStr">
        <is>
          <t>Fabián</t>
        </is>
      </c>
      <c r="H37" s="29" t="inlineStr">
        <is>
          <t>Hecho</t>
        </is>
      </c>
    </row>
    <row r="38" ht="48" customHeight="1" s="17">
      <c r="A38" s="27" t="inlineStr">
        <is>
          <t>RF-34</t>
        </is>
      </c>
      <c r="B38" s="27" t="inlineStr">
        <is>
          <t>Analítica</t>
        </is>
      </c>
      <c r="C38" s="21" t="inlineStr">
        <is>
          <t>El sistema debe mostrar una vista de analítica con datos reales (conversaciones, resolución por el bot, derivadas y tiempos), filtrada por empresa según el rol.</t>
        </is>
      </c>
      <c r="D38" s="28" t="inlineStr">
        <is>
          <t>Media</t>
        </is>
      </c>
      <c r="E38" s="27" t="inlineStr">
        <is>
          <t>4. Desarrollo</t>
        </is>
      </c>
      <c r="F38" s="21" t="inlineStr">
        <is>
          <t>GET /metricas/analitica + vista Analítica</t>
        </is>
      </c>
      <c r="G38" s="27" t="inlineStr">
        <is>
          <t>Fabián</t>
        </is>
      </c>
      <c r="H38" s="29" t="inlineStr">
        <is>
          <t>Hecho</t>
        </is>
      </c>
    </row>
    <row r="39" ht="48" customHeight="1" s="17">
      <c r="A39" s="27" t="inlineStr">
        <is>
          <t>RF-35</t>
        </is>
      </c>
      <c r="B39" s="27" t="inlineStr">
        <is>
          <t>Plataforma base</t>
        </is>
      </c>
      <c r="C39" s="21" t="inlineStr">
        <is>
          <t>El sistema debe limitar la tasa de peticiones de los endpoints sin sesión (chat público, widget y login) para evitar abuso y fuerza bruta.</t>
        </is>
      </c>
      <c r="D39" s="28" t="inlineStr">
        <is>
          <t>Alta</t>
        </is>
      </c>
      <c r="E39" s="27" t="inlineStr">
        <is>
          <t>4. Desarrollo</t>
        </is>
      </c>
      <c r="F39" s="21" t="inlineStr">
        <is>
          <t>app/ratelimit.py; respuesta 429 con Retry-After; 7 pruebas</t>
        </is>
      </c>
      <c r="G39" s="27" t="inlineStr">
        <is>
          <t>Fabián</t>
        </is>
      </c>
      <c r="H39" s="29" t="inlineStr">
        <is>
          <t>Hecho</t>
        </is>
      </c>
    </row>
    <row r="40" ht="48" customHeight="1" s="17">
      <c r="A40" s="27" t="inlineStr">
        <is>
          <t>RF-36</t>
        </is>
      </c>
      <c r="B40" s="27" t="inlineStr">
        <is>
          <t>Entorno local</t>
        </is>
      </c>
      <c r="C40" s="21" t="inlineStr">
        <is>
          <t>El proyecto debe poder levantarse en Windows con un solo comando (base de datos, backend y frontend), con o sin Docker.</t>
        </is>
      </c>
      <c r="D40" s="28" t="inlineStr">
        <is>
          <t>Media</t>
        </is>
      </c>
      <c r="E40" s="27" t="inlineStr">
        <is>
          <t>3. Configuración del Entorno Local</t>
        </is>
      </c>
      <c r="F40" s="21" t="inlineStr">
        <is>
          <t>iniciar.ps1 / detener.ps1 (idempotentes) y documentación en el README</t>
        </is>
      </c>
      <c r="G40" s="27" t="inlineStr">
        <is>
          <t>Fabián</t>
        </is>
      </c>
      <c r="H40" s="29" t="inlineStr">
        <is>
          <t>Hecho</t>
        </is>
      </c>
    </row>
    <row r="41" ht="48" customHeight="1" s="17">
      <c r="A41" s="27" t="inlineStr">
        <is>
          <t>RF-37</t>
        </is>
      </c>
      <c r="B41" s="27" t="inlineStr">
        <is>
          <t>Pruebas</t>
        </is>
      </c>
      <c r="C41" s="21" t="inlineStr">
        <is>
          <t>El sistema debe evaluarse con una batería de preguntas con y sin respaldo que mida la fuente correcta, la separación entre ambas y el efecto del umbral.</t>
        </is>
      </c>
      <c r="D41" s="28" t="inlineStr">
        <is>
          <t>Alta</t>
        </is>
      </c>
      <c r="E41" s="27" t="inlineStr">
        <is>
          <t>5. Pruebas</t>
        </is>
      </c>
      <c r="F41" s="21" t="inlineStr">
        <is>
          <t>backend/calidad_rag/ (45 preguntas) con resultados por embedder</t>
        </is>
      </c>
      <c r="G41" s="27" t="inlineStr">
        <is>
          <t>Fabián</t>
        </is>
      </c>
      <c r="H41" s="29" t="inlineStr">
        <is>
          <t>Hecho</t>
        </is>
      </c>
    </row>
    <row r="42" ht="48" customHeight="1" s="17">
      <c r="A42" s="27" t="inlineStr">
        <is>
          <t>RF-38</t>
        </is>
      </c>
      <c r="B42" s="27" t="inlineStr">
        <is>
          <t>Derivación a Corestream</t>
        </is>
      </c>
      <c r="C42" s="21" t="inlineStr">
        <is>
          <t>El sistema debe crear los tickets en la API real de Corestream (httpx), manteniendo el mock como respaldo.</t>
        </is>
      </c>
      <c r="D42" s="28" t="inlineStr">
        <is>
          <t>Alta</t>
        </is>
      </c>
      <c r="E42" s="27" t="inlineStr">
        <is>
          <t>4. Desarrollo</t>
        </is>
      </c>
      <c r="F42" s="21" t="inlineStr">
        <is>
          <t>Integración real documentada y probada</t>
        </is>
      </c>
      <c r="G42" s="27" t="inlineStr">
        <is>
          <t>Fabián</t>
        </is>
      </c>
      <c r="H42" s="29" t="inlineStr">
        <is>
          <t>Pendiente</t>
        </is>
      </c>
    </row>
    <row r="43" ht="48" customHeight="1" s="17">
      <c r="A43" s="27" t="inlineStr">
        <is>
          <t>RF-39</t>
        </is>
      </c>
      <c r="B43" s="27" t="inlineStr">
        <is>
          <t>Ingesta de documentos</t>
        </is>
      </c>
      <c r="C43" s="21" t="inlineStr">
        <is>
          <t>El sistema debe cerrar los tickets sin respuesta a la encuesta mediante una tarea periódica (hoy el cierre se aplica al leer).</t>
        </is>
      </c>
      <c r="D43" s="30" t="inlineStr">
        <is>
          <t>Baja</t>
        </is>
      </c>
      <c r="E43" s="27" t="inlineStr">
        <is>
          <t>4. Desarrollo</t>
        </is>
      </c>
      <c r="F43" s="21" t="inlineStr">
        <is>
          <t>Tarea periódica con Celery</t>
        </is>
      </c>
      <c r="G43" s="27" t="inlineStr">
        <is>
          <t>Vicente</t>
        </is>
      </c>
      <c r="H43" s="29" t="inlineStr">
        <is>
          <t>Pendiente</t>
        </is>
      </c>
    </row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2">
    <mergeCell ref="A2:H2"/>
    <mergeCell ref="A1:H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E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9" customWidth="1" style="16" min="1" max="1"/>
    <col width="16" customWidth="1" style="16" min="2" max="2"/>
    <col width="60" customWidth="1" style="16" min="3" max="3"/>
    <col width="12" customWidth="1" style="16" min="4" max="4"/>
    <col width="40" customWidth="1" style="16" min="5" max="5"/>
    <col width="8.710000000000001" customWidth="1" style="16" min="6" max="26"/>
  </cols>
  <sheetData>
    <row r="1" ht="19.5" customHeight="1" s="17">
      <c r="A1" s="18" t="inlineStr">
        <is>
          <t>Requisitos No Funcionales</t>
        </is>
      </c>
    </row>
    <row r="4" ht="15" customHeight="1" s="17">
      <c r="A4" s="25" t="inlineStr">
        <is>
          <t>ID</t>
        </is>
      </c>
      <c r="B4" s="25" t="inlineStr">
        <is>
          <t>Categoría</t>
        </is>
      </c>
      <c r="C4" s="25" t="inlineStr">
        <is>
          <t>Descripción</t>
        </is>
      </c>
      <c r="D4" s="25" t="inlineStr">
        <is>
          <t>Prioridad</t>
        </is>
      </c>
      <c r="E4" s="25" t="inlineStr">
        <is>
          <t>Cómo se verifica</t>
        </is>
      </c>
    </row>
    <row r="5" ht="39.75" customHeight="1" s="17">
      <c r="A5" s="27" t="inlineStr">
        <is>
          <t>RNF-01</t>
        </is>
      </c>
      <c r="B5" s="27" t="inlineStr">
        <is>
          <t>Seguridad</t>
        </is>
      </c>
      <c r="C5" s="21" t="inlineStr">
        <is>
          <t>Aislamiento multi-tenant total: ninguna consulta puede retornar datos de más de una empresa a la vez.</t>
        </is>
      </c>
      <c r="D5" s="28" t="inlineStr">
        <is>
          <t>Alta</t>
        </is>
      </c>
      <c r="E5" s="21" t="inlineStr">
        <is>
          <t>Caso de prueba de aislamiento (RF-25)</t>
        </is>
      </c>
    </row>
    <row r="6" ht="39.75" customHeight="1" s="17">
      <c r="A6" s="27" t="inlineStr">
        <is>
          <t>RNF-02</t>
        </is>
      </c>
      <c r="B6" s="27" t="inlineStr">
        <is>
          <t>Seguridad</t>
        </is>
      </c>
      <c r="C6" s="21" t="inlineStr">
        <is>
          <t>Ninguna credencial (API keys, contraseñas) se almacena en el código ni en el repositorio.</t>
        </is>
      </c>
      <c r="D6" s="28" t="inlineStr">
        <is>
          <t>Alta</t>
        </is>
      </c>
      <c r="E6" s="21" t="inlineStr">
        <is>
          <t>Revisión de código + .gitignore incluye .env</t>
        </is>
      </c>
    </row>
    <row r="7" ht="39.75" customHeight="1" s="17">
      <c r="A7" s="27" t="inlineStr">
        <is>
          <t>RNF-03</t>
        </is>
      </c>
      <c r="B7" s="27" t="inlineStr">
        <is>
          <t>Seguridad</t>
        </is>
      </c>
      <c r="C7" s="21" t="inlineStr">
        <is>
          <t>Los servicios locales (PostgreSQL y Redis) solo escuchan en localhost (127.0.0.1), sin exponerse a la red.</t>
        </is>
      </c>
      <c r="D7" s="28" t="inlineStr">
        <is>
          <t>Alta</t>
        </is>
      </c>
      <c r="E7" s="21" t="inlineStr">
        <is>
          <t>Revisión de docker-compose.yml y de los puertos publicados</t>
        </is>
      </c>
    </row>
    <row r="8" ht="39.75" customHeight="1" s="17">
      <c r="A8" s="27" t="inlineStr">
        <is>
          <t>RNF-04</t>
        </is>
      </c>
      <c r="B8" s="27" t="inlineStr">
        <is>
          <t>Seguridad</t>
        </is>
      </c>
      <c r="C8" s="21" t="inlineStr">
        <is>
          <t>Los documentos originales se guardan en una carpeta local privada, excluida del repositorio; solo el backend accede a ella.</t>
        </is>
      </c>
      <c r="D8" s="28" t="inlineStr">
        <is>
          <t>Alta</t>
        </is>
      </c>
      <c r="E8" s="21" t="inlineStr">
        <is>
          <t>Revisión de .gitignore y de la carpeta de almacenamiento</t>
        </is>
      </c>
    </row>
    <row r="9" ht="39.75" customHeight="1" s="17">
      <c r="A9" s="27" t="inlineStr">
        <is>
          <t>RNF-05</t>
        </is>
      </c>
      <c r="B9" s="27" t="inlineStr">
        <is>
          <t>Calidad / IA</t>
        </is>
      </c>
      <c r="C9" s="21" t="inlineStr">
        <is>
          <t>El motor RAG no debe generar respuestas sin respaldo en los documentos recuperados (evitar alucinaciones).</t>
        </is>
      </c>
      <c r="D9" s="28" t="inlineStr">
        <is>
          <t>Alta</t>
        </is>
      </c>
      <c r="E9" s="21" t="inlineStr">
        <is>
          <t>Revisión manual de respuestas durante pruebas y batería de calidad (a umbral 0.8: 2 de 20 preguntas sin respaldo respondidas); repetir con DeepSeek en vivo</t>
        </is>
      </c>
    </row>
    <row r="10" ht="39.75" customHeight="1" s="17">
      <c r="A10" s="27" t="inlineStr">
        <is>
          <t>RNF-06</t>
        </is>
      </c>
      <c r="B10" s="27" t="inlineStr">
        <is>
          <t>Rendimiento</t>
        </is>
      </c>
      <c r="C10" s="21" t="inlineStr">
        <is>
          <t>El sistema debe responder a una consulta del usuario en un tiempo razonable, sin bloquear la interfaz.</t>
        </is>
      </c>
      <c r="D10" s="28" t="inlineStr">
        <is>
          <t>Media</t>
        </is>
      </c>
      <c r="E10" s="21" t="inlineStr">
        <is>
          <t>Medición de tiempo de respuesta en pruebas manuales (pendiente de medir con DeepSeek en vivo)</t>
        </is>
      </c>
    </row>
    <row r="11" ht="39.75" customHeight="1" s="17">
      <c r="A11" s="27" t="inlineStr">
        <is>
          <t>RNF-07</t>
        </is>
      </c>
      <c r="B11" s="27" t="inlineStr">
        <is>
          <t>Costos</t>
        </is>
      </c>
      <c r="C11" s="21" t="inlineStr">
        <is>
          <t>El desarrollo debe operar sin costos de infraestructura: todo corre en local con software open source; el único gasto posible es el uso de la API de DeepSeek.</t>
        </is>
      </c>
      <c r="D11" s="28" t="inlineStr">
        <is>
          <t>Media</t>
        </is>
      </c>
      <c r="E11" s="21" t="inlineStr">
        <is>
          <t>Revisión del consumo de la API de DeepSeek</t>
        </is>
      </c>
    </row>
    <row r="12" ht="39.75" customHeight="1" s="17">
      <c r="A12" s="27" t="inlineStr">
        <is>
          <t>RNF-08</t>
        </is>
      </c>
      <c r="B12" s="27" t="inlineStr">
        <is>
          <t>Proceso</t>
        </is>
      </c>
      <c r="C12" s="21" t="inlineStr">
        <is>
          <t>El repositorio debe mantener historial de commits y documentación de avance actualizada.</t>
        </is>
      </c>
      <c r="D12" s="28" t="inlineStr">
        <is>
          <t>Alta</t>
        </is>
      </c>
      <c r="E12" s="21" t="inlineStr">
        <is>
          <t>Revisión del historial de git y la documentación</t>
        </is>
      </c>
    </row>
    <row r="13" ht="39.75" customHeight="1" s="17">
      <c r="A13" s="27" t="inlineStr">
        <is>
          <t>RNF-09</t>
        </is>
      </c>
      <c r="B13" s="27" t="inlineStr">
        <is>
          <t>Proceso</t>
        </is>
      </c>
      <c r="C13" s="21" t="inlineStr">
        <is>
          <t>El código debe seguir las convenciones definidas en CLAUDE.md (estructura de carpetas, nombres, multi-tenant por diseño).</t>
        </is>
      </c>
      <c r="D13" s="28" t="inlineStr">
        <is>
          <t>Media</t>
        </is>
      </c>
      <c r="E13" s="21" t="inlineStr">
        <is>
          <t>Revisión de código entre integrantes</t>
        </is>
      </c>
    </row>
    <row r="14" ht="39.75" customHeight="1" s="17">
      <c r="A14" s="27" t="inlineStr">
        <is>
          <t>RNF-10</t>
        </is>
      </c>
      <c r="B14" s="27" t="inlineStr">
        <is>
          <t>Plazo</t>
        </is>
      </c>
      <c r="C14" s="21" t="inlineStr">
        <is>
          <t>El proyecto debe completarse dentro de las semanas definidas en el cronograma para cada fase de la asignatura.</t>
        </is>
      </c>
      <c r="D14" s="28" t="inlineStr">
        <is>
          <t>Alta</t>
        </is>
      </c>
      <c r="E14" s="21" t="inlineStr">
        <is>
          <t>Seguimiento del cronograma por fases</t>
        </is>
      </c>
    </row>
    <row r="15" ht="39.75" customHeight="1" s="17">
      <c r="A15" s="27" t="inlineStr">
        <is>
          <t>RNF-11</t>
        </is>
      </c>
      <c r="B15" s="27" t="inlineStr">
        <is>
          <t>Seguridad</t>
        </is>
      </c>
      <c r="C15" s="21" t="inlineStr">
        <is>
          <t>Los endpoints sin sesión (chat público, widget y login) deben limitar la tasa de peticiones por IP y responder 429 al superarla.</t>
        </is>
      </c>
      <c r="D15" s="28" t="inlineStr">
        <is>
          <t>Alta</t>
        </is>
      </c>
      <c r="E15" s="21" t="inlineStr">
        <is>
          <t>Pruebas automáticas (test_ratelimit.py) y E2E sin 429 en el flujo normal</t>
        </is>
      </c>
    </row>
    <row r="16" ht="39.75" customHeight="1" s="17">
      <c r="A16" s="27" t="inlineStr">
        <is>
          <t>RNF-12</t>
        </is>
      </c>
      <c r="B16" s="27" t="inlineStr">
        <is>
          <t>Calidad / IA</t>
        </is>
      </c>
      <c r="C16" s="21" t="inlineStr">
        <is>
          <t>La confianza del motor RAG debe estar calibrada con una batería de preguntas con y sin respaldo (fuente correcta ≥ 90 % y separación AUC ≥ 0.9).</t>
        </is>
      </c>
      <c r="D16" s="28" t="inlineStr">
        <is>
          <t>Alta</t>
        </is>
      </c>
      <c r="E16" s="21" t="inlineStr">
        <is>
          <t>calidad_rag/evaluar.py (hoy: fuente correcta 96 %, AUC 0.93)</t>
        </is>
      </c>
    </row>
    <row r="17" ht="39.75" customHeight="1" s="17">
      <c r="A17" s="27" t="inlineStr">
        <is>
          <t>RNF-13</t>
        </is>
      </c>
      <c r="B17" s="27" t="inlineStr">
        <is>
          <t>Disponibilidad</t>
        </is>
      </c>
      <c r="C17" s="21" t="inlineStr">
        <is>
          <t>La caída o falta de clave de DeepSeek no debe interrumpir el chat: el motor debe degradar a una respuesta extractiva.</t>
        </is>
      </c>
      <c r="D17" s="28" t="inlineStr">
        <is>
          <t>Alta</t>
        </is>
      </c>
      <c r="E17" s="21" t="inlineStr">
        <is>
          <t>Pruebas con LLM simulado que falla (test_rag.py)</t>
        </is>
      </c>
    </row>
    <row r="18" ht="39.75" customHeight="1" s="17">
      <c r="A18" s="27" t="inlineStr">
        <is>
          <t>RNF-14</t>
        </is>
      </c>
      <c r="B18" s="27" t="inlineStr">
        <is>
          <t>Confiabilidad</t>
        </is>
      </c>
      <c r="C18" s="21" t="inlineStr">
        <is>
          <t>Cada respuesta de un agente debe quedar registrada con el usuario autenticado, sin aceptar el remitente desde el cliente.</t>
        </is>
      </c>
      <c r="D18" s="28" t="inlineStr">
        <is>
          <t>Media</t>
        </is>
      </c>
      <c r="E18" s="21" t="inlineStr">
        <is>
          <t>Prueba de remitente autenticado (test_roles.py)</t>
        </is>
      </c>
    </row>
    <row r="19"/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1">
    <mergeCell ref="A1:E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G4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11" customWidth="1" style="16" min="1" max="1"/>
    <col width="30" customWidth="1" style="16" min="2" max="2"/>
    <col width="48" customWidth="1" style="16" min="3" max="3"/>
    <col width="14" customWidth="1" style="16" min="4" max="4"/>
    <col width="30" customWidth="1" style="16" min="5" max="5"/>
    <col width="12" customWidth="1" style="16" min="6" max="7"/>
    <col width="8.710000000000001" customWidth="1" style="16" min="8" max="26"/>
  </cols>
  <sheetData>
    <row r="1" ht="19.5" customHeight="1" s="17">
      <c r="A1" s="18" t="inlineStr">
        <is>
          <t>EDT — Estructura de Descomposición del Trabajo</t>
        </is>
      </c>
    </row>
    <row r="2" ht="15" customHeight="1" s="17">
      <c r="A2" s="19" t="n"/>
    </row>
    <row r="4" ht="15" customHeight="1" s="17">
      <c r="A4" s="25" t="inlineStr">
        <is>
          <t>Código EDT</t>
        </is>
      </c>
      <c r="B4" s="25" t="inlineStr">
        <is>
          <t>Fase</t>
        </is>
      </c>
      <c r="C4" s="25" t="inlineStr">
        <is>
          <t>Tarea</t>
        </is>
      </c>
      <c r="D4" s="25" t="inlineStr">
        <is>
          <t>Semana(s)</t>
        </is>
      </c>
      <c r="E4" s="25" t="inlineStr">
        <is>
          <t>Entregable</t>
        </is>
      </c>
      <c r="F4" s="25" t="inlineStr">
        <is>
          <t>Responsable</t>
        </is>
      </c>
      <c r="G4" s="25" t="inlineStr">
        <is>
          <t>Estado</t>
        </is>
      </c>
    </row>
    <row r="5" ht="33.75" customHeight="1" s="17">
      <c r="A5" s="27" t="inlineStr">
        <is>
          <t>1.1</t>
        </is>
      </c>
      <c r="B5" s="27" t="inlineStr">
        <is>
          <t>1. Análisis</t>
        </is>
      </c>
      <c r="C5" s="21" t="inlineStr">
        <is>
          <t>Levantamiento de requerimientos funcionales y no funcionales</t>
        </is>
      </c>
      <c r="D5" s="27" t="inlineStr">
        <is>
          <t>S1-S4 (previo)</t>
        </is>
      </c>
      <c r="E5" s="27" t="n"/>
      <c r="F5" s="27" t="inlineStr">
        <is>
          <t>Ambos</t>
        </is>
      </c>
      <c r="G5" s="29" t="inlineStr">
        <is>
          <t>Hecho</t>
        </is>
      </c>
    </row>
    <row r="6" ht="33.75" customHeight="1" s="17">
      <c r="A6" s="27" t="inlineStr">
        <is>
          <t>1.2</t>
        </is>
      </c>
      <c r="B6" s="27" t="inlineStr">
        <is>
          <t>1. Análisis</t>
        </is>
      </c>
      <c r="C6" s="21" t="inlineStr">
        <is>
          <t>Definición de alcance (dentro / fuera del MVP)</t>
        </is>
      </c>
      <c r="D6" s="27" t="inlineStr">
        <is>
          <t>S1-S4 (previo)</t>
        </is>
      </c>
      <c r="E6" s="27" t="n"/>
      <c r="F6" s="27" t="inlineStr">
        <is>
          <t>Ambos</t>
        </is>
      </c>
      <c r="G6" s="29" t="inlineStr">
        <is>
          <t>Hecho</t>
        </is>
      </c>
    </row>
    <row r="7" ht="33.75" customHeight="1" s="17">
      <c r="A7" s="27" t="inlineStr">
        <is>
          <t>2.1</t>
        </is>
      </c>
      <c r="B7" s="27" t="inlineStr">
        <is>
          <t>2. Diseño</t>
        </is>
      </c>
      <c r="C7" s="21" t="inlineStr">
        <is>
          <t>Diseño de la arquitectura de software</t>
        </is>
      </c>
      <c r="D7" s="27" t="inlineStr">
        <is>
          <t>S1-S4 (previo)</t>
        </is>
      </c>
      <c r="E7" s="27" t="n"/>
      <c r="F7" s="27" t="inlineStr">
        <is>
          <t>Ambos</t>
        </is>
      </c>
      <c r="G7" s="29" t="inlineStr">
        <is>
          <t>Hecho</t>
        </is>
      </c>
    </row>
    <row r="8" ht="33.75" customHeight="1" s="17">
      <c r="A8" s="27" t="inlineStr">
        <is>
          <t>2.2</t>
        </is>
      </c>
      <c r="B8" s="27" t="inlineStr">
        <is>
          <t>2. Diseño</t>
        </is>
      </c>
      <c r="C8" s="21" t="inlineStr">
        <is>
          <t>Diseño del modelo de datos multi-tenant</t>
        </is>
      </c>
      <c r="D8" s="27" t="inlineStr">
        <is>
          <t>S1-S4 (previo)</t>
        </is>
      </c>
      <c r="E8" s="27" t="n"/>
      <c r="F8" s="27" t="inlineStr">
        <is>
          <t>Vicente</t>
        </is>
      </c>
      <c r="G8" s="29" t="inlineStr">
        <is>
          <t>Hecho</t>
        </is>
      </c>
    </row>
    <row r="9" ht="33.75" customHeight="1" s="17">
      <c r="A9" s="27" t="inlineStr">
        <is>
          <t>2.3</t>
        </is>
      </c>
      <c r="B9" s="27" t="inlineStr">
        <is>
          <t>2. Diseño</t>
        </is>
      </c>
      <c r="C9" s="21" t="inlineStr">
        <is>
          <t>Diseño conceptual de las vistas del MVP (Corestream y despliegue de agentes)</t>
        </is>
      </c>
      <c r="D9" s="27" t="inlineStr">
        <is>
          <t>S1-S4 (previo)</t>
        </is>
      </c>
      <c r="E9" s="27" t="inlineStr">
        <is>
          <t>.ZIP con el código</t>
        </is>
      </c>
      <c r="F9" s="27" t="inlineStr">
        <is>
          <t>Fabián</t>
        </is>
      </c>
      <c r="G9" s="29" t="inlineStr">
        <is>
          <t>Hecho</t>
        </is>
      </c>
    </row>
    <row r="10" ht="33.75" customHeight="1" s="17">
      <c r="A10" s="27" t="inlineStr">
        <is>
          <t>3.1</t>
        </is>
      </c>
      <c r="B10" s="27" t="inlineStr">
        <is>
          <t>3. Configuración del Entorno Local</t>
        </is>
      </c>
      <c r="C10" s="21" t="inlineStr">
        <is>
          <t>Instalación y configuración de Python, Node.js y Docker en ambas notebooks</t>
        </is>
      </c>
      <c r="D10" s="27" t="inlineStr">
        <is>
          <t>S1</t>
        </is>
      </c>
      <c r="E10" s="27" t="inlineStr">
        <is>
          <t>Entorno operativo en la notebook de Fabián (modo sin Docker); falta Docker y la notebook de Vicente</t>
        </is>
      </c>
      <c r="F10" s="27" t="inlineStr">
        <is>
          <t>Ambos</t>
        </is>
      </c>
      <c r="G10" s="29" t="inlineStr">
        <is>
          <t>En curso</t>
        </is>
      </c>
    </row>
    <row r="11" ht="33.75" customHeight="1" s="17">
      <c r="A11" s="27" t="inlineStr">
        <is>
          <t>3.2</t>
        </is>
      </c>
      <c r="B11" s="27" t="inlineStr">
        <is>
          <t>3. Configuración del Entorno Local</t>
        </is>
      </c>
      <c r="C11" s="21" t="inlineStr">
        <is>
          <t>Configuración del repositorio y del archivo .env (con .env.example)</t>
        </is>
      </c>
      <c r="D11" s="27" t="inlineStr">
        <is>
          <t>S1</t>
        </is>
      </c>
      <c r="E11" s="27" t="inlineStr">
        <is>
          <t>.env.example en el repo, .env ignorado</t>
        </is>
      </c>
      <c r="F11" s="27" t="inlineStr">
        <is>
          <t>Ambos</t>
        </is>
      </c>
      <c r="G11" s="29" t="inlineStr">
        <is>
          <t>Hecho</t>
        </is>
      </c>
    </row>
    <row r="12" ht="33.75" customHeight="1" s="17">
      <c r="A12" s="27" t="inlineStr">
        <is>
          <t>3.3</t>
        </is>
      </c>
      <c r="B12" s="27" t="inlineStr">
        <is>
          <t>3. Configuración del Entorno Local</t>
        </is>
      </c>
      <c r="C12" s="21" t="inlineStr">
        <is>
          <t>Levantar PostgreSQL + pgvector local con Docker Compose</t>
        </is>
      </c>
      <c r="D12" s="27" t="inlineStr">
        <is>
          <t>S1</t>
        </is>
      </c>
      <c r="E12" s="27" t="inlineStr">
        <is>
          <t>Base local disponible (Postgres embebido); falta validar el contenedor pgvector con Docker</t>
        </is>
      </c>
      <c r="F12" s="27" t="inlineStr">
        <is>
          <t>Ambos</t>
        </is>
      </c>
      <c r="G12" s="29" t="inlineStr">
        <is>
          <t>En curso</t>
        </is>
      </c>
    </row>
    <row r="13" ht="33.75" customHeight="1" s="17">
      <c r="A13" s="27" t="inlineStr">
        <is>
          <t>3.4</t>
        </is>
      </c>
      <c r="B13" s="27" t="inlineStr">
        <is>
          <t>3. Configuración del Entorno Local</t>
        </is>
      </c>
      <c r="C13" s="21" t="inlineStr">
        <is>
          <t>Creación de la carpeta local de almacenamiento de documentos</t>
        </is>
      </c>
      <c r="D13" s="27" t="inlineStr">
        <is>
          <t>S1</t>
        </is>
      </c>
      <c r="E13" s="27" t="inlineStr">
        <is>
          <t>Carpeta storage/ configurada</t>
        </is>
      </c>
      <c r="F13" s="27" t="inlineStr">
        <is>
          <t>Ambos</t>
        </is>
      </c>
      <c r="G13" s="29" t="inlineStr">
        <is>
          <t>Hecho</t>
        </is>
      </c>
    </row>
    <row r="14" ht="33.75" customHeight="1" s="17">
      <c r="A14" s="27" t="inlineStr">
        <is>
          <t>3.5</t>
        </is>
      </c>
      <c r="B14" s="27" t="inlineStr">
        <is>
          <t>3. Configuración del Entorno Local</t>
        </is>
      </c>
      <c r="C14" s="21" t="inlineStr">
        <is>
          <t>Levantar Redis local con Docker Compose para Celery</t>
        </is>
      </c>
      <c r="D14" s="27" t="inlineStr">
        <is>
          <t>S1</t>
        </is>
      </c>
      <c r="E14" s="27" t="inlineStr">
        <is>
          <t>Redis local disponible</t>
        </is>
      </c>
      <c r="F14" s="27" t="inlineStr">
        <is>
          <t>Ambos</t>
        </is>
      </c>
      <c r="G14" s="29" t="inlineStr">
        <is>
          <t>Pendiente</t>
        </is>
      </c>
    </row>
    <row r="15" ht="33.75" customHeight="1" s="17">
      <c r="A15" s="27" t="inlineStr">
        <is>
          <t>3.6</t>
        </is>
      </c>
      <c r="B15" s="27" t="inlineStr">
        <is>
          <t>3. Configuración del Entorno Local</t>
        </is>
      </c>
      <c r="C15" s="21" t="inlineStr">
        <is>
          <t>Verificación de puertos (solo localhost) y variables de entorno</t>
        </is>
      </c>
      <c r="D15" s="27" t="inlineStr">
        <is>
          <t>S1</t>
        </is>
      </c>
      <c r="E15" s="27" t="inlineStr">
        <is>
          <t>Puertos definidos solo en localhost; falta verificarlos con Docker corriendo</t>
        </is>
      </c>
      <c r="F15" s="27" t="inlineStr">
        <is>
          <t>Ambos</t>
        </is>
      </c>
      <c r="G15" s="29" t="inlineStr">
        <is>
          <t>En curso</t>
        </is>
      </c>
    </row>
    <row r="16" ht="33.75" customHeight="1" s="17">
      <c r="A16" s="27" t="inlineStr">
        <is>
          <t>3.7</t>
        </is>
      </c>
      <c r="B16" s="27" t="inlineStr">
        <is>
          <t>3. Configuración del Entorno Local</t>
        </is>
      </c>
      <c r="C16" s="21" t="inlineStr">
        <is>
          <t>Scripts de arranque y apagado en un comando (iniciar.ps1 / detener.ps1)</t>
        </is>
      </c>
      <c r="D16" s="27" t="inlineStr">
        <is>
          <t>S10</t>
        </is>
      </c>
      <c r="E16" s="27" t="inlineStr">
        <is>
          <t>Arranque idempotente con o sin Docker</t>
        </is>
      </c>
      <c r="F16" s="27" t="inlineStr">
        <is>
          <t>Fabián</t>
        </is>
      </c>
      <c r="G16" s="29" t="inlineStr">
        <is>
          <t>Hecho</t>
        </is>
      </c>
    </row>
    <row r="17" ht="33.75" customHeight="1" s="17">
      <c r="A17" s="27" t="inlineStr">
        <is>
          <t>4.1</t>
        </is>
      </c>
      <c r="B17" s="27" t="inlineStr">
        <is>
          <t>4. Desarrollo</t>
        </is>
      </c>
      <c r="C17" s="21" t="inlineStr">
        <is>
          <t>Desarrollo del MVP — vista de consola Corestream</t>
        </is>
      </c>
      <c r="D17" s="27" t="inlineStr">
        <is>
          <t>S2-S3</t>
        </is>
      </c>
      <c r="E17" s="27" t="inlineStr">
        <is>
          <t>Vista funcional (frontend)</t>
        </is>
      </c>
      <c r="F17" s="27" t="inlineStr">
        <is>
          <t>Fabián</t>
        </is>
      </c>
      <c r="G17" s="29" t="inlineStr">
        <is>
          <t>Hecho</t>
        </is>
      </c>
    </row>
    <row r="18" ht="33.75" customHeight="1" s="17">
      <c r="A18" s="27" t="inlineStr">
        <is>
          <t>4.2</t>
        </is>
      </c>
      <c r="B18" s="27" t="inlineStr">
        <is>
          <t>4. Desarrollo</t>
        </is>
      </c>
      <c r="C18" s="21" t="inlineStr">
        <is>
          <t>Desarrollo del MVP — vista de despliegue de agentes</t>
        </is>
      </c>
      <c r="D18" s="27" t="inlineStr">
        <is>
          <t>S2-S3</t>
        </is>
      </c>
      <c r="E18" s="27" t="inlineStr">
        <is>
          <t>Vista funcional (frontend)</t>
        </is>
      </c>
      <c r="F18" s="27" t="inlineStr">
        <is>
          <t>Fabián</t>
        </is>
      </c>
      <c r="G18" s="29" t="inlineStr">
        <is>
          <t>Hecho</t>
        </is>
      </c>
    </row>
    <row r="19" ht="33.75" customHeight="1" s="17">
      <c r="A19" s="27" t="inlineStr">
        <is>
          <t>4.3</t>
        </is>
      </c>
      <c r="B19" s="27" t="inlineStr">
        <is>
          <t>4. Desarrollo</t>
        </is>
      </c>
      <c r="C19" s="21" t="inlineStr">
        <is>
          <t>Implementación del modelo de datos en la base de datos real</t>
        </is>
      </c>
      <c r="D19" s="27" t="inlineStr">
        <is>
          <t>S9-S10 (orig. S4)</t>
        </is>
      </c>
      <c r="E19" s="27" t="inlineStr">
        <is>
          <t>Migración aplicada en PostgreSQL local</t>
        </is>
      </c>
      <c r="F19" s="27" t="inlineStr">
        <is>
          <t>Vicente</t>
        </is>
      </c>
      <c r="G19" s="29" t="inlineStr">
        <is>
          <t>Hecho</t>
        </is>
      </c>
    </row>
    <row r="20" ht="33.75" customHeight="1" s="17">
      <c r="A20" s="27" t="inlineStr">
        <is>
          <t>4.4</t>
        </is>
      </c>
      <c r="B20" s="27" t="inlineStr">
        <is>
          <t>4. Desarrollo</t>
        </is>
      </c>
      <c r="C20" s="21" t="inlineStr">
        <is>
          <t>Desarrollo de la plataforma base (gestión de empresas y usuarios)</t>
        </is>
      </c>
      <c r="D20" s="27" t="inlineStr">
        <is>
          <t>S9-S10 (orig. S4-S6)</t>
        </is>
      </c>
      <c r="E20" s="27" t="inlineStr">
        <is>
          <t>Endpoints CRUD funcionales</t>
        </is>
      </c>
      <c r="F20" s="27" t="inlineStr">
        <is>
          <t>Fabián</t>
        </is>
      </c>
      <c r="G20" s="29" t="inlineStr">
        <is>
          <t>Hecho</t>
        </is>
      </c>
    </row>
    <row r="21" ht="33.75" customHeight="1" s="17">
      <c r="A21" s="27" t="inlineStr">
        <is>
          <t>4.5</t>
        </is>
      </c>
      <c r="B21" s="27" t="inlineStr">
        <is>
          <t>4. Desarrollo</t>
        </is>
      </c>
      <c r="C21" s="21" t="inlineStr">
        <is>
          <t>Desarrollo del pipeline de ingesta y vectorización de documentos</t>
        </is>
      </c>
      <c r="D21" s="27" t="inlineStr">
        <is>
          <t>S9-S10 (orig. S4-S6)</t>
        </is>
      </c>
      <c r="E21" s="27" t="inlineStr">
        <is>
          <t>Pipeline de ingesta funcional con embeddings reales (Celery pendiente: 4.19)</t>
        </is>
      </c>
      <c r="F21" s="27" t="inlineStr">
        <is>
          <t>Vicente</t>
        </is>
      </c>
      <c r="G21" s="29" t="inlineStr">
        <is>
          <t>Hecho</t>
        </is>
      </c>
    </row>
    <row r="22" ht="33.75" customHeight="1" s="17">
      <c r="A22" s="27" t="inlineStr">
        <is>
          <t>4.6</t>
        </is>
      </c>
      <c r="B22" s="27" t="inlineStr">
        <is>
          <t>4. Desarrollo</t>
        </is>
      </c>
      <c r="C22" s="21" t="inlineStr">
        <is>
          <t>Implementación del motor conversacional RAG</t>
        </is>
      </c>
      <c r="D22" s="27" t="inlineStr">
        <is>
          <t>S9-S10 (orig. S6-S9)</t>
        </is>
      </c>
      <c r="E22" s="27" t="inlineStr">
        <is>
          <t>Motor RAG funcional y calibrado (prueba en vivo con DeepSeek: 4.17)</t>
        </is>
      </c>
      <c r="F22" s="27" t="inlineStr">
        <is>
          <t>Vicente</t>
        </is>
      </c>
      <c r="G22" s="29" t="inlineStr">
        <is>
          <t>Hecho</t>
        </is>
      </c>
    </row>
    <row r="23" ht="33.75" customHeight="1" s="17">
      <c r="A23" s="27" t="inlineStr">
        <is>
          <t>4.7</t>
        </is>
      </c>
      <c r="B23" s="27" t="inlineStr">
        <is>
          <t>4. Desarrollo</t>
        </is>
      </c>
      <c r="C23" s="21" t="inlineStr">
        <is>
          <t>Desarrollo de la interfaz de chat web</t>
        </is>
      </c>
      <c r="D23" s="27" t="inlineStr">
        <is>
          <t>S6-S9</t>
        </is>
      </c>
      <c r="E23" s="27" t="inlineStr">
        <is>
          <t>Interfaz de chat funcional</t>
        </is>
      </c>
      <c r="F23" s="27" t="inlineStr">
        <is>
          <t>Fabián</t>
        </is>
      </c>
      <c r="G23" s="29" t="inlineStr">
        <is>
          <t>Hecho</t>
        </is>
      </c>
    </row>
    <row r="24" ht="33.75" customHeight="1" s="17">
      <c r="A24" s="27" t="inlineStr">
        <is>
          <t>4.8</t>
        </is>
      </c>
      <c r="B24" s="27" t="inlineStr">
        <is>
          <t>4. Desarrollo</t>
        </is>
      </c>
      <c r="C24" s="21" t="inlineStr">
        <is>
          <t>Implementación de la derivación de consultas a Corestream</t>
        </is>
      </c>
      <c r="D24" s="27" t="inlineStr">
        <is>
          <t>S9-S12 (orig. S9-S11)</t>
        </is>
      </c>
      <c r="E24" s="27" t="inlineStr">
        <is>
          <t>Derivación funcional con mock (integración real con Corestream: 4.18)</t>
        </is>
      </c>
      <c r="F24" s="27" t="inlineStr">
        <is>
          <t>Fabián</t>
        </is>
      </c>
      <c r="G24" s="29" t="inlineStr">
        <is>
          <t>En curso</t>
        </is>
      </c>
    </row>
    <row r="25" ht="33.75" customHeight="1" s="17">
      <c r="A25" s="27" t="inlineStr">
        <is>
          <t>4.9</t>
        </is>
      </c>
      <c r="B25" s="27" t="inlineStr">
        <is>
          <t>4. Desarrollo</t>
        </is>
      </c>
      <c r="C25" s="21" t="inlineStr">
        <is>
          <t>Autenticación (login JWT) y roles: superadmin, admin de empresa, encargado de tickets y encargado del agente IA</t>
        </is>
      </c>
      <c r="D25" s="27" t="inlineStr">
        <is>
          <t>S9 (agregado en la replanificación)</t>
        </is>
      </c>
      <c r="E25" s="27" t="inlineStr">
        <is>
          <t>Login y permisos por rol funcionando</t>
        </is>
      </c>
      <c r="F25" s="27" t="inlineStr">
        <is>
          <t>Fabián</t>
        </is>
      </c>
      <c r="G25" s="29" t="inlineStr">
        <is>
          <t>Hecho</t>
        </is>
      </c>
    </row>
    <row r="26" ht="33.75" customHeight="1" s="17">
      <c r="A26" s="27" t="inlineStr">
        <is>
          <t>4.10</t>
        </is>
      </c>
      <c r="B26" s="27" t="inlineStr">
        <is>
          <t>4. Desarrollo</t>
        </is>
      </c>
      <c r="C26" s="21" t="inlineStr">
        <is>
          <t>Widget embebible y página pública de chat</t>
        </is>
      </c>
      <c r="D26" s="27" t="inlineStr">
        <is>
          <t>S9-S10</t>
        </is>
      </c>
      <c r="E26" s="27" t="inlineStr">
        <is>
          <t>widget.min.js + /chat/{slug} probados desde otro origen</t>
        </is>
      </c>
      <c r="F26" s="27" t="inlineStr">
        <is>
          <t>Fabián</t>
        </is>
      </c>
      <c r="G26" s="29" t="inlineStr">
        <is>
          <t>Hecho</t>
        </is>
      </c>
    </row>
    <row r="27" ht="33.75" customHeight="1" s="17">
      <c r="A27" s="27" t="inlineStr">
        <is>
          <t>4.11</t>
        </is>
      </c>
      <c r="B27" s="27" t="inlineStr">
        <is>
          <t>4. Desarrollo</t>
        </is>
      </c>
      <c r="C27" s="21" t="inlineStr">
        <is>
          <t>Respuesta del agente visible al cliente (sondeo, recuperación al recargar, aviso en el widget)</t>
        </is>
      </c>
      <c r="D27" s="27" t="inlineStr">
        <is>
          <t>S10</t>
        </is>
      </c>
      <c r="E27" s="27" t="inlineStr">
        <is>
          <t>Chat público con transcripción en vivo</t>
        </is>
      </c>
      <c r="F27" s="27" t="inlineStr">
        <is>
          <t>Fabián</t>
        </is>
      </c>
      <c r="G27" s="29" t="inlineStr">
        <is>
          <t>Hecho</t>
        </is>
      </c>
    </row>
    <row r="28" ht="33.75" customHeight="1" s="17">
      <c r="A28" s="27" t="inlineStr">
        <is>
          <t>4.12</t>
        </is>
      </c>
      <c r="B28" s="27" t="inlineStr">
        <is>
          <t>4. Desarrollo</t>
        </is>
      </c>
      <c r="C28" s="21" t="inlineStr">
        <is>
          <t>Ciclo de vida del ticket con encuesta de resolución (Sí cierra, No escala, 72 h cierra)</t>
        </is>
      </c>
      <c r="D28" s="27" t="inlineStr">
        <is>
          <t>S10</t>
        </is>
      </c>
      <c r="E28" s="27" t="inlineStr">
        <is>
          <t>Estados esperando_cliente / cerrado / escalado</t>
        </is>
      </c>
      <c r="F28" s="27" t="inlineStr">
        <is>
          <t>Fabián</t>
        </is>
      </c>
      <c r="G28" s="29" t="inlineStr">
        <is>
          <t>Hecho</t>
        </is>
      </c>
    </row>
    <row r="29" ht="33.75" customHeight="1" s="17">
      <c r="A29" s="27" t="inlineStr">
        <is>
          <t>4.13</t>
        </is>
      </c>
      <c r="B29" s="27" t="inlineStr">
        <is>
          <t>4. Desarrollo</t>
        </is>
      </c>
      <c r="C29" s="21" t="inlineStr">
        <is>
          <t>Asignación de tickets a usuarios reales y remitente autenticado</t>
        </is>
      </c>
      <c r="D29" s="27" t="inlineStr">
        <is>
          <t>S9-S10</t>
        </is>
      </c>
      <c r="E29" s="27" t="inlineStr">
        <is>
          <t>GET /tickets/agentes + migración 0003</t>
        </is>
      </c>
      <c r="F29" s="27" t="inlineStr">
        <is>
          <t>Fabián</t>
        </is>
      </c>
      <c r="G29" s="29" t="inlineStr">
        <is>
          <t>Hecho</t>
        </is>
      </c>
    </row>
    <row r="30" ht="33.75" customHeight="1" s="17">
      <c r="A30" s="27" t="inlineStr">
        <is>
          <t>4.14</t>
        </is>
      </c>
      <c r="B30" s="27" t="inlineStr">
        <is>
          <t>4. Desarrollo</t>
        </is>
      </c>
      <c r="C30" s="21" t="inlineStr">
        <is>
          <t>Analítica real por empresa y rol</t>
        </is>
      </c>
      <c r="D30" s="27" t="inlineStr">
        <is>
          <t>S9-S10</t>
        </is>
      </c>
      <c r="E30" s="27" t="inlineStr">
        <is>
          <t>GET /metricas/analitica + vista Analítica</t>
        </is>
      </c>
      <c r="F30" s="27" t="inlineStr">
        <is>
          <t>Fabián</t>
        </is>
      </c>
      <c r="G30" s="29" t="inlineStr">
        <is>
          <t>Hecho</t>
        </is>
      </c>
    </row>
    <row r="31" ht="33.75" customHeight="1" s="17">
      <c r="A31" s="27" t="inlineStr">
        <is>
          <t>4.15</t>
        </is>
      </c>
      <c r="B31" s="27" t="inlineStr">
        <is>
          <t>4. Desarrollo</t>
        </is>
      </c>
      <c r="C31" s="21" t="inlineStr">
        <is>
          <t>Limitación de peticiones (rate limiting) en endpoints sin sesión</t>
        </is>
      </c>
      <c r="D31" s="27" t="inlineStr">
        <is>
          <t>S10</t>
        </is>
      </c>
      <c r="E31" s="27" t="inlineStr">
        <is>
          <t>app/ratelimit.py con pruebas</t>
        </is>
      </c>
      <c r="F31" s="27" t="inlineStr">
        <is>
          <t>Fabián</t>
        </is>
      </c>
      <c r="G31" s="29" t="inlineStr">
        <is>
          <t>Hecho</t>
        </is>
      </c>
    </row>
    <row r="32" ht="33.75" customHeight="1" s="17">
      <c r="A32" s="27" t="inlineStr">
        <is>
          <t>4.16</t>
        </is>
      </c>
      <c r="B32" s="27" t="inlineStr">
        <is>
          <t>4. Desarrollo</t>
        </is>
      </c>
      <c r="C32" s="21" t="inlineStr">
        <is>
          <t>Embeddings reales, búsqueda vectorial por empresa y calibración del motor RAG</t>
        </is>
      </c>
      <c r="D32" s="27" t="inlineStr">
        <is>
          <t>S10</t>
        </is>
      </c>
      <c r="E32" s="27" t="inlineStr">
        <is>
          <t>Motor RAG validado con 45 preguntas</t>
        </is>
      </c>
      <c r="F32" s="27" t="inlineStr">
        <is>
          <t>Fabián</t>
        </is>
      </c>
      <c r="G32" s="29" t="inlineStr">
        <is>
          <t>Hecho</t>
        </is>
      </c>
    </row>
    <row r="33" ht="33.75" customHeight="1" s="17">
      <c r="A33" s="27" t="inlineStr">
        <is>
          <t>4.17</t>
        </is>
      </c>
      <c r="B33" s="27" t="inlineStr">
        <is>
          <t>4. Desarrollo</t>
        </is>
      </c>
      <c r="C33" s="21" t="inlineStr">
        <is>
          <t>Prueba en vivo con DeepSeek y ajuste de umbral y tono</t>
        </is>
      </c>
      <c r="D33" s="27" t="inlineStr">
        <is>
          <t>S11</t>
        </is>
      </c>
      <c r="E33" s="27" t="inlineStr">
        <is>
          <t>Respuestas generadas por DeepSeek verificadas (requiere API key)</t>
        </is>
      </c>
      <c r="F33" s="27" t="inlineStr">
        <is>
          <t>Ambos</t>
        </is>
      </c>
      <c r="G33" s="29" t="inlineStr">
        <is>
          <t>Pendiente</t>
        </is>
      </c>
    </row>
    <row r="34" ht="33.75" customHeight="1" s="17">
      <c r="A34" s="27" t="inlineStr">
        <is>
          <t>4.18</t>
        </is>
      </c>
      <c r="B34" s="27" t="inlineStr">
        <is>
          <t>4. Desarrollo</t>
        </is>
      </c>
      <c r="C34" s="21" t="inlineStr">
        <is>
          <t>Integración real con la API de Corestream (httpx), manteniendo el mock</t>
        </is>
      </c>
      <c r="D34" s="27" t="inlineStr">
        <is>
          <t>S11-S12</t>
        </is>
      </c>
      <c r="E34" s="27" t="inlineStr">
        <is>
          <t>Tickets creados en Corestream (requiere documentación y credenciales)</t>
        </is>
      </c>
      <c r="F34" s="27" t="inlineStr">
        <is>
          <t>Fabián</t>
        </is>
      </c>
      <c r="G34" s="29" t="inlineStr">
        <is>
          <t>Pendiente</t>
        </is>
      </c>
    </row>
    <row r="35" ht="33.75" customHeight="1" s="17">
      <c r="A35" s="27" t="inlineStr">
        <is>
          <t>4.19</t>
        </is>
      </c>
      <c r="B35" s="27" t="inlineStr">
        <is>
          <t>4. Desarrollo</t>
        </is>
      </c>
      <c r="C35" s="21" t="inlineStr">
        <is>
          <t>Celery + Redis para la ingesta y el cierre automático de encuestas</t>
        </is>
      </c>
      <c r="D35" s="27" t="inlineStr">
        <is>
          <t>S11-S12</t>
        </is>
      </c>
      <c r="E35" s="27" t="inlineStr">
        <is>
          <t>Tareas asíncronas y periódicas funcionando</t>
        </is>
      </c>
      <c r="F35" s="27" t="inlineStr">
        <is>
          <t>Vicente</t>
        </is>
      </c>
      <c r="G35" s="29" t="inlineStr">
        <is>
          <t>Pendiente</t>
        </is>
      </c>
    </row>
    <row r="36" ht="33.75" customHeight="1" s="17">
      <c r="A36" s="27" t="inlineStr">
        <is>
          <t>5.1</t>
        </is>
      </c>
      <c r="B36" s="27" t="inlineStr">
        <is>
          <t>5. Pruebas</t>
        </is>
      </c>
      <c r="C36" s="21" t="inlineStr">
        <is>
          <t>Pruebas unitarias por servicio de negocio</t>
        </is>
      </c>
      <c r="D36" s="27" t="inlineStr">
        <is>
          <t>S12-S14 (orig. S11-S14)</t>
        </is>
      </c>
      <c r="E36" s="27" t="inlineStr">
        <is>
          <t>90 pruebas pytest sin errores</t>
        </is>
      </c>
      <c r="F36" s="27" t="inlineStr">
        <is>
          <t>Ambos</t>
        </is>
      </c>
      <c r="G36" s="29" t="inlineStr">
        <is>
          <t>Hecho</t>
        </is>
      </c>
    </row>
    <row r="37" ht="33.75" customHeight="1" s="17">
      <c r="A37" s="27" t="inlineStr">
        <is>
          <t>5.2</t>
        </is>
      </c>
      <c r="B37" s="27" t="inlineStr">
        <is>
          <t>5. Pruebas</t>
        </is>
      </c>
      <c r="C37" s="21" t="inlineStr">
        <is>
          <t>Pruebas de integración de punta a punta</t>
        </is>
      </c>
      <c r="D37" s="27" t="inlineStr">
        <is>
          <t>S12-S14 (orig. S11-S14)</t>
        </is>
      </c>
      <c r="E37" s="27" t="inlineStr">
        <is>
          <t>49 verificaciones de punta a punta aprobadas</t>
        </is>
      </c>
      <c r="F37" s="27" t="inlineStr">
        <is>
          <t>Ambos</t>
        </is>
      </c>
      <c r="G37" s="29" t="inlineStr">
        <is>
          <t>Hecho</t>
        </is>
      </c>
    </row>
    <row r="38" ht="33.75" customHeight="1" s="17">
      <c r="A38" s="27" t="inlineStr">
        <is>
          <t>5.3</t>
        </is>
      </c>
      <c r="B38" s="27" t="inlineStr">
        <is>
          <t>5. Pruebas</t>
        </is>
      </c>
      <c r="C38" s="21" t="inlineStr">
        <is>
          <t>Batería de calidad del motor RAG (preguntas con y sin respaldo)</t>
        </is>
      </c>
      <c r="D38" s="27" t="inlineStr">
        <is>
          <t>S10</t>
        </is>
      </c>
      <c r="E38" s="27" t="inlineStr">
        <is>
          <t>backend/calidad_rag/ con resultados</t>
        </is>
      </c>
      <c r="F38" s="27" t="inlineStr">
        <is>
          <t>Fabián</t>
        </is>
      </c>
      <c r="G38" s="29" t="inlineStr">
        <is>
          <t>Hecho</t>
        </is>
      </c>
    </row>
    <row r="39" ht="33.75" customHeight="1" s="17">
      <c r="A39" s="27" t="inlineStr">
        <is>
          <t>5.4</t>
        </is>
      </c>
      <c r="B39" s="27" t="inlineStr">
        <is>
          <t>5. Pruebas</t>
        </is>
      </c>
      <c r="C39" s="21" t="inlineStr">
        <is>
          <t>Pruebas con DeepSeek en vivo y con Docker en ambas notebooks</t>
        </is>
      </c>
      <c r="D39" s="27" t="inlineStr">
        <is>
          <t>S12-S13</t>
        </is>
      </c>
      <c r="E39" s="27" t="inlineStr">
        <is>
          <t>Informe de pruebas actualizado</t>
        </is>
      </c>
      <c r="F39" s="27" t="inlineStr">
        <is>
          <t>Ambos</t>
        </is>
      </c>
      <c r="G39" s="29" t="inlineStr">
        <is>
          <t>Pendiente</t>
        </is>
      </c>
    </row>
    <row r="40" ht="33.75" customHeight="1" s="17">
      <c r="A40" s="27" t="inlineStr">
        <is>
          <t>5.5</t>
        </is>
      </c>
      <c r="B40" s="27" t="inlineStr">
        <is>
          <t>5. Pruebas</t>
        </is>
      </c>
      <c r="C40" s="21" t="inlineStr">
        <is>
          <t>Medición de tiempos de respuesta y pruebas de aceptación con los cuatro roles</t>
        </is>
      </c>
      <c r="D40" s="27" t="inlineStr">
        <is>
          <t>S13-S14</t>
        </is>
      </c>
      <c r="E40" s="27" t="inlineStr">
        <is>
          <t>Resultados documentados (RNF-06)</t>
        </is>
      </c>
      <c r="F40" s="27" t="inlineStr">
        <is>
          <t>Ambos</t>
        </is>
      </c>
      <c r="G40" s="29" t="inlineStr">
        <is>
          <t>Pendiente</t>
        </is>
      </c>
    </row>
    <row r="41" ht="33.75" customHeight="1" s="17">
      <c r="A41" s="27" t="inlineStr">
        <is>
          <t>6.1</t>
        </is>
      </c>
      <c r="B41" s="27" t="inlineStr">
        <is>
          <t>6. Implementación y Cierre</t>
        </is>
      </c>
      <c r="C41" s="21" t="inlineStr">
        <is>
          <t>Ajustes finales y corrección de errores detectados en pruebas</t>
        </is>
      </c>
      <c r="D41" s="27" t="inlineStr">
        <is>
          <t>S14-S17</t>
        </is>
      </c>
      <c r="E41" s="27" t="inlineStr">
        <is>
          <t>Errores corregidos</t>
        </is>
      </c>
      <c r="F41" s="27" t="inlineStr">
        <is>
          <t>Ambos</t>
        </is>
      </c>
      <c r="G41" s="29" t="inlineStr">
        <is>
          <t>Pendiente</t>
        </is>
      </c>
    </row>
    <row r="42" ht="33.75" customHeight="1" s="17">
      <c r="A42" s="27" t="inlineStr">
        <is>
          <t>6.2</t>
        </is>
      </c>
      <c r="B42" s="27" t="inlineStr">
        <is>
          <t>6. Implementación y Cierre</t>
        </is>
      </c>
      <c r="C42" s="21" t="inlineStr">
        <is>
          <t>Documentación técnica final y manual de usuario</t>
        </is>
      </c>
      <c r="D42" s="27" t="inlineStr">
        <is>
          <t>S14-S17</t>
        </is>
      </c>
      <c r="E42" s="27" t="inlineStr">
        <is>
          <t>docs/ actualizado con capturas; falta la versión final</t>
        </is>
      </c>
      <c r="F42" s="27" t="inlineStr">
        <is>
          <t>Ambos</t>
        </is>
      </c>
      <c r="G42" s="29" t="inlineStr">
        <is>
          <t>En curso</t>
        </is>
      </c>
    </row>
    <row r="43" ht="33.75" customHeight="1" s="17">
      <c r="A43" s="27" t="inlineStr">
        <is>
          <t>6.3</t>
        </is>
      </c>
      <c r="B43" s="27" t="inlineStr">
        <is>
          <t>6. Implementación y Cierre</t>
        </is>
      </c>
      <c r="C43" s="21" t="inlineStr">
        <is>
          <t>Preparación y entrega final del proyecto</t>
        </is>
      </c>
      <c r="D43" s="27" t="inlineStr">
        <is>
          <t>S14-S17</t>
        </is>
      </c>
      <c r="E43" s="27" t="inlineStr">
        <is>
          <t>Entrega Fase 3 completa</t>
        </is>
      </c>
      <c r="F43" s="27" t="inlineStr">
        <is>
          <t>Ambos</t>
        </is>
      </c>
      <c r="G43" s="29" t="inlineStr">
        <is>
          <t>Pendiente</t>
        </is>
      </c>
    </row>
    <row r="44" ht="33.75" customHeight="1" s="17">
      <c r="A44" s="27" t="inlineStr">
        <is>
          <t>6.4</t>
        </is>
      </c>
      <c r="B44" s="27" t="inlineStr">
        <is>
          <t>6. Implementación y Cierre</t>
        </is>
      </c>
      <c r="C44" s="21" t="inlineStr">
        <is>
          <t>Informe de avance Fase 2 (APT)</t>
        </is>
      </c>
      <c r="D44" s="27" t="inlineStr">
        <is>
          <t>S10</t>
        </is>
      </c>
      <c r="E44" s="27" t="inlineStr">
        <is>
          <t>Documento 2.4 completado</t>
        </is>
      </c>
      <c r="F44" s="27" t="inlineStr">
        <is>
          <t>Ambos</t>
        </is>
      </c>
      <c r="G44" s="29" t="inlineStr">
        <is>
          <t>Hecho</t>
        </is>
      </c>
    </row>
    <row r="45" ht="33.75" customHeight="1" s="17">
      <c r="A45" s="27" t="inlineStr">
        <is>
          <t>6.5</t>
        </is>
      </c>
      <c r="B45" s="27" t="inlineStr">
        <is>
          <t>6. Implementación y Cierre</t>
        </is>
      </c>
      <c r="C45" s="21" t="inlineStr">
        <is>
          <t>Entregables del Capstone: abstract ES/EN, conclusiones y reflexión individual (inglés)</t>
        </is>
      </c>
      <c r="D45" s="27" t="inlineStr">
        <is>
          <t>S15-S17</t>
        </is>
      </c>
      <c r="E45" s="27" t="inlineStr">
        <is>
          <t>Documentos académicos finales</t>
        </is>
      </c>
      <c r="F45" s="27" t="inlineStr">
        <is>
          <t>Ambos</t>
        </is>
      </c>
      <c r="G45" s="29" t="inlineStr">
        <is>
          <t>Pendiente</t>
        </is>
      </c>
    </row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2">
    <mergeCell ref="A2:G2"/>
    <mergeCell ref="A1:G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E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42" customWidth="1" style="16" min="1" max="1"/>
    <col width="15" customWidth="1" style="16" min="2" max="3"/>
    <col width="40" customWidth="1" style="16" min="4" max="4"/>
    <col width="24" customWidth="1" style="16" min="5" max="26"/>
  </cols>
  <sheetData>
    <row r="1" ht="19.5" customHeight="1" s="17">
      <c r="A1" s="18" t="inlineStr">
        <is>
          <t>Cronograma por Fases</t>
        </is>
      </c>
    </row>
    <row r="2" ht="15" customHeight="1" s="17">
      <c r="A2" s="19" t="n"/>
    </row>
    <row r="4" ht="15" customHeight="1" s="17">
      <c r="A4" s="25" t="inlineStr">
        <is>
          <t>Fase</t>
        </is>
      </c>
      <c r="B4" s="25" t="inlineStr">
        <is>
          <t>Semana inicio</t>
        </is>
      </c>
      <c r="C4" s="25" t="inlineStr">
        <is>
          <t>Semana fin</t>
        </is>
      </c>
      <c r="D4" s="25" t="inlineStr">
        <is>
          <t>Responsable principal</t>
        </is>
      </c>
      <c r="E4" s="31" t="inlineStr">
        <is>
          <t>Estado (S10)</t>
        </is>
      </c>
    </row>
    <row r="5" ht="30" customHeight="1" s="17">
      <c r="A5" s="21" t="inlineStr">
        <is>
          <t>1. Análisis</t>
        </is>
      </c>
      <c r="B5" s="27" t="inlineStr">
        <is>
          <t>—</t>
        </is>
      </c>
      <c r="C5" s="27" t="inlineStr">
        <is>
          <t>—</t>
        </is>
      </c>
      <c r="D5" s="27" t="inlineStr">
        <is>
          <t>Ambos (previo a S1, ya completado)</t>
        </is>
      </c>
      <c r="E5" s="32" t="inlineStr">
        <is>
          <t>Completado</t>
        </is>
      </c>
    </row>
    <row r="6" ht="30" customHeight="1" s="17">
      <c r="A6" s="21" t="inlineStr">
        <is>
          <t>2. Diseño</t>
        </is>
      </c>
      <c r="B6" s="27" t="inlineStr">
        <is>
          <t>—</t>
        </is>
      </c>
      <c r="C6" s="27" t="inlineStr">
        <is>
          <t>—</t>
        </is>
      </c>
      <c r="D6" s="27" t="inlineStr">
        <is>
          <t>Ambos (previo a S1, ya completado)</t>
        </is>
      </c>
      <c r="E6" s="32" t="inlineStr">
        <is>
          <t>Completado</t>
        </is>
      </c>
    </row>
    <row r="7" ht="30" customHeight="1" s="17">
      <c r="A7" s="21" t="inlineStr">
        <is>
          <t>3. Configuración del Entorno Local</t>
        </is>
      </c>
      <c r="B7" s="27" t="inlineStr">
        <is>
          <t>S1</t>
        </is>
      </c>
      <c r="C7" s="27" t="inlineStr">
        <is>
          <t>S1</t>
        </is>
      </c>
      <c r="D7" s="27" t="inlineStr">
        <is>
          <t>Ambos</t>
        </is>
      </c>
      <c r="E7" s="32" t="inlineStr">
        <is>
          <t>En curso</t>
        </is>
      </c>
    </row>
    <row r="8" ht="30" customHeight="1" s="17">
      <c r="A8" s="21" t="inlineStr">
        <is>
          <t>4. Desarrollo</t>
        </is>
      </c>
      <c r="B8" s="27" t="inlineStr">
        <is>
          <t>S2</t>
        </is>
      </c>
      <c r="C8" s="27" t="inlineStr">
        <is>
          <t>S12</t>
        </is>
      </c>
      <c r="D8" s="27" t="inlineStr">
        <is>
          <t>Ambos (Fabián y Vicente en paralelo, por módulo); replanificado desde S9. Quedan DeepSeek en vivo, Corestream real y Celery.</t>
        </is>
      </c>
      <c r="E8" s="32" t="inlineStr">
        <is>
          <t>En curso</t>
        </is>
      </c>
    </row>
    <row r="9" ht="30" customHeight="1" s="17">
      <c r="A9" s="21" t="inlineStr">
        <is>
          <t>5. Pruebas</t>
        </is>
      </c>
      <c r="B9" s="27" t="inlineStr">
        <is>
          <t>S12</t>
        </is>
      </c>
      <c r="C9" s="27" t="inlineStr">
        <is>
          <t>S14</t>
        </is>
      </c>
      <c r="D9" s="27" t="inlineStr">
        <is>
          <t>Ambos</t>
        </is>
      </c>
      <c r="E9" s="32" t="inlineStr">
        <is>
          <t>En curso (adelantada)</t>
        </is>
      </c>
    </row>
    <row r="10" ht="30" customHeight="1" s="17">
      <c r="A10" s="21" t="inlineStr">
        <is>
          <t>6. Implementación y Cierre</t>
        </is>
      </c>
      <c r="B10" s="27" t="inlineStr">
        <is>
          <t>S14</t>
        </is>
      </c>
      <c r="C10" s="27" t="inlineStr">
        <is>
          <t>S17</t>
        </is>
      </c>
      <c r="D10" s="27" t="inlineStr">
        <is>
          <t>Ambos</t>
        </is>
      </c>
      <c r="E10" s="32" t="inlineStr">
        <is>
          <t>No iniciada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2">
    <mergeCell ref="A1:D1"/>
    <mergeCell ref="A2:D2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D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24" customWidth="1" style="16" min="1" max="1"/>
    <col width="40" customWidth="1" style="16" min="2" max="2"/>
    <col width="55" customWidth="1" style="16" min="3" max="3"/>
    <col width="13" customWidth="1" style="16" min="4" max="4"/>
    <col width="8.710000000000001" customWidth="1" style="16" min="5" max="26"/>
  </cols>
  <sheetData>
    <row r="1" ht="19.5" customHeight="1" s="17">
      <c r="A1" s="18" t="inlineStr">
        <is>
          <t>Stack Tecnológico</t>
        </is>
      </c>
    </row>
    <row r="4" ht="15" customHeight="1" s="17">
      <c r="A4" s="25" t="inlineStr">
        <is>
          <t>Capa</t>
        </is>
      </c>
      <c r="B4" s="25" t="inlineStr">
        <is>
          <t>Tecnología</t>
        </is>
      </c>
      <c r="C4" s="25" t="inlineStr">
        <is>
          <t>Para qué se usa</t>
        </is>
      </c>
      <c r="D4" s="25" t="inlineStr">
        <is>
          <t>Estado</t>
        </is>
      </c>
    </row>
    <row r="5" ht="34.5" customHeight="1" s="17">
      <c r="A5" s="27" t="inlineStr">
        <is>
          <t>Backend / API</t>
        </is>
      </c>
      <c r="B5" s="27" t="inlineStr">
        <is>
          <t>Python 3.11+ / FastAPI / Uvicorn</t>
        </is>
      </c>
      <c r="C5" s="21" t="inlineStr">
        <is>
          <t>Framework que expone la API (chat, carga de documentos, tickets).</t>
        </is>
      </c>
      <c r="D5" s="29" t="inlineStr">
        <is>
          <t>Hecho</t>
        </is>
      </c>
    </row>
    <row r="6" ht="34.5" customHeight="1" s="17">
      <c r="A6" s="27" t="inlineStr">
        <is>
          <t>ORM / migraciones</t>
        </is>
      </c>
      <c r="B6" s="27" t="inlineStr">
        <is>
          <t>SQLAlchemy + Alembic</t>
        </is>
      </c>
      <c r="C6" s="21" t="inlineStr">
        <is>
          <t>Traduce el modelo de datos a clases Python y versiona los cambios de esquema.</t>
        </is>
      </c>
      <c r="D6" s="29" t="inlineStr">
        <is>
          <t>Hecho</t>
        </is>
      </c>
    </row>
    <row r="7" ht="34.5" customHeight="1" s="17">
      <c r="A7" s="27" t="inlineStr">
        <is>
          <t>Base de datos</t>
        </is>
      </c>
      <c r="B7" s="27" t="inlineStr">
        <is>
          <t>PostgreSQL + pgvector (local, Docker)</t>
        </is>
      </c>
      <c r="C7" s="21" t="inlineStr">
        <is>
          <t>Guarda empresas, documentos, embeddings, conversaciones y tickets. Validado con Postgres embebido; falta probar el contenedor pgvector (índice HNSW) con Docker.</t>
        </is>
      </c>
      <c r="D7" s="29" t="inlineStr">
        <is>
          <t>En curso</t>
        </is>
      </c>
    </row>
    <row r="8" ht="34.5" customHeight="1" s="17">
      <c r="A8" s="27" t="inlineStr">
        <is>
          <t>Modelo de lenguaje</t>
        </is>
      </c>
      <c r="B8" s="27" t="inlineStr">
        <is>
          <t>DeepSeek (API)</t>
        </is>
      </c>
      <c r="C8" s="21" t="inlineStr">
        <is>
          <t>Genera las respuestas del chatbot. Cliente implementado con respaldo extractivo; falta la prueba en vivo (sin API key).</t>
        </is>
      </c>
      <c r="D8" s="29" t="inlineStr">
        <is>
          <t>En curso</t>
        </is>
      </c>
    </row>
    <row r="9" ht="34.5" customHeight="1" s="17">
      <c r="A9" s="27" t="inlineStr">
        <is>
          <t>Embeddings</t>
        </is>
      </c>
      <c r="B9" s="27" t="inlineStr">
        <is>
          <t>sentence-transformers (paraphrase-multilingual-MiniLM-L12-v2)</t>
        </is>
      </c>
      <c r="C9" s="21" t="inlineStr">
        <is>
          <t>Convierte texto en vectores para la búsqueda semántica, sin costo por uso.</t>
        </is>
      </c>
      <c r="D9" s="29" t="inlineStr">
        <is>
          <t>Hecho</t>
        </is>
      </c>
    </row>
    <row r="10" ht="34.5" customHeight="1" s="17">
      <c r="A10" s="27" t="inlineStr">
        <is>
          <t>Procesos en segundo plano</t>
        </is>
      </c>
      <c r="B10" s="27" t="inlineStr">
        <is>
          <t>Celery + Redis (local, Docker)</t>
        </is>
      </c>
      <c r="C10" s="21" t="inlineStr">
        <is>
          <t>Procesa la ingesta sin bloquear al usuario. Hoy usa BackgroundTasks de FastAPI; Celery + Redis queda pendiente.</t>
        </is>
      </c>
      <c r="D10" s="29" t="inlineStr">
        <is>
          <t>Pendiente</t>
        </is>
      </c>
    </row>
    <row r="11" ht="34.5" customHeight="1" s="17">
      <c r="A11" s="27" t="inlineStr">
        <is>
          <t>Frontend</t>
        </is>
      </c>
      <c r="B11" s="27" t="inlineStr">
        <is>
          <t>React + TypeScript (Vite)</t>
        </is>
      </c>
      <c r="C11" s="21" t="inlineStr">
        <is>
          <t>Interfaz de chat y panel de administración.</t>
        </is>
      </c>
      <c r="D11" s="29" t="inlineStr">
        <is>
          <t>Hecho</t>
        </is>
      </c>
    </row>
    <row r="12" ht="34.5" customHeight="1" s="17">
      <c r="A12" s="27" t="inlineStr">
        <is>
          <t>Procesamiento de documentos</t>
        </is>
      </c>
      <c r="B12" s="27" t="inlineStr">
        <is>
          <t>pypdf, python-docx</t>
        </is>
      </c>
      <c r="C12" s="21" t="inlineStr">
        <is>
          <t>Extraer texto de PDF y Word subidos por las empresas.</t>
        </is>
      </c>
      <c r="D12" s="29" t="inlineStr">
        <is>
          <t>Hecho</t>
        </is>
      </c>
    </row>
    <row r="13" ht="34.5" customHeight="1" s="17">
      <c r="A13" s="27" t="inlineStr">
        <is>
          <t>Integraciones externas</t>
        </is>
      </c>
      <c r="B13" s="27" t="inlineStr">
        <is>
          <t>httpx</t>
        </is>
      </c>
      <c r="C13" s="21" t="inlineStr">
        <is>
          <t>Llamadas a las APIs de DeepSeek (hecho) y Corestream (pendiente: hoy mock).</t>
        </is>
      </c>
      <c r="D13" s="29" t="inlineStr">
        <is>
          <t>En curso</t>
        </is>
      </c>
    </row>
    <row r="14" ht="34.5" customHeight="1" s="17">
      <c r="A14" s="27" t="inlineStr">
        <is>
          <t>Testing</t>
        </is>
      </c>
      <c r="B14" s="27" t="inlineStr">
        <is>
          <t>pytest</t>
        </is>
      </c>
      <c r="C14" s="21" t="inlineStr">
        <is>
          <t>Pruebas unitarias y de integración (90 pruebas) y de punta a punta con Playwright (49).</t>
        </is>
      </c>
      <c r="D14" s="29" t="inlineStr">
        <is>
          <t>Hecho</t>
        </is>
      </c>
    </row>
    <row r="15" ht="34.5" customHeight="1" s="17">
      <c r="A15" s="27" t="inlineStr">
        <is>
          <t>Calidad de código</t>
        </is>
      </c>
      <c r="B15" s="27" t="inlineStr">
        <is>
          <t>ruff</t>
        </is>
      </c>
      <c r="C15" s="21" t="inlineStr">
        <is>
          <t>Linter y formateador de Python. No está configurado en el repositorio todavía.</t>
        </is>
      </c>
      <c r="D15" s="29" t="inlineStr">
        <is>
          <t>Pendiente</t>
        </is>
      </c>
    </row>
    <row r="16" ht="34.5" customHeight="1" s="17">
      <c r="A16" s="27" t="inlineStr">
        <is>
          <t>Entorno local</t>
        </is>
      </c>
      <c r="B16" s="27" t="inlineStr">
        <is>
          <t>Docker Compose</t>
        </is>
      </c>
      <c r="C16" s="21" t="inlineStr">
        <is>
          <t>Levanta PostgreSQL + pgvector y Redis en local, igual en ambas notebooks.</t>
        </is>
      </c>
      <c r="D16" s="29" t="inlineStr">
        <is>
          <t>En curso</t>
        </is>
      </c>
    </row>
    <row r="17" ht="34.5" customHeight="1" s="17">
      <c r="A17" s="27" t="inlineStr">
        <is>
          <t>Autenticación y roles</t>
        </is>
      </c>
      <c r="B17" s="27" t="inlineStr">
        <is>
          <t>PyJWT (HS256) + PBKDF2-SHA256 (stdlib)</t>
        </is>
      </c>
      <c r="C17" s="21" t="inlineStr">
        <is>
          <t>Login con token, claves con hash y autorización por rol en cada endpoint.</t>
        </is>
      </c>
      <c r="D17" s="29" t="inlineStr">
        <is>
          <t>Hecho</t>
        </is>
      </c>
    </row>
    <row r="18" ht="34.5" customHeight="1" s="17">
      <c r="A18" s="27" t="inlineStr">
        <is>
          <t>Pruebas de navegador</t>
        </is>
      </c>
      <c r="B18" s="27" t="inlineStr">
        <is>
          <t>Playwright</t>
        </is>
      </c>
      <c r="C18" s="21" t="inlineStr">
        <is>
          <t>Prueba de punta a punta de la interfaz (login, consola, chat, widget, roles).</t>
        </is>
      </c>
      <c r="D18" s="29" t="inlineStr">
        <is>
          <t>Hecho</t>
        </is>
      </c>
    </row>
    <row r="19" ht="34.5" customHeight="1" s="17">
      <c r="A19" s="27" t="inlineStr">
        <is>
          <t>Control de abuso</t>
        </is>
      </c>
      <c r="B19" s="27" t="inlineStr">
        <is>
          <t>Rate limiting en memoria (app/ratelimit.py)</t>
        </is>
      </c>
      <c r="C19" s="21" t="inlineStr">
        <is>
          <t>Limita la tasa de peticiones del chat público, widget y login.</t>
        </is>
      </c>
      <c r="D19" s="29" t="inlineStr">
        <is>
          <t>Hecho</t>
        </is>
      </c>
    </row>
    <row r="20" ht="34.5" customHeight="1" s="17">
      <c r="A20" s="27" t="inlineStr">
        <is>
          <t>Arranque local</t>
        </is>
      </c>
      <c r="B20" s="27" t="inlineStr">
        <is>
          <t>PowerShell (iniciar.ps1 / detener.ps1)</t>
        </is>
      </c>
      <c r="C20" s="21" t="inlineStr">
        <is>
          <t>Levanta y apaga todo el proyecto en Windows con un comando.</t>
        </is>
      </c>
      <c r="D20" s="29" t="inlineStr">
        <is>
          <t>Hecho</t>
        </is>
      </c>
    </row>
    <row r="21" ht="34.5" customHeight="1" s="17">
      <c r="A21" s="27" t="inlineStr">
        <is>
          <t>BD de desarrollo sin Docker</t>
        </is>
      </c>
      <c r="B21" s="27" t="inlineStr">
        <is>
          <t>pixeltable-pgserver (Postgres embebido)</t>
        </is>
      </c>
      <c r="C21" s="21" t="inlineStr">
        <is>
          <t>Solo desarrollo: su pgvector se cae al calcular distancias en CPUs sin AVX-512 (búsqueda exacta en el backend).</t>
        </is>
      </c>
      <c r="D21" s="29" t="inlineStr">
        <is>
          <t>Hecho</t>
        </is>
      </c>
    </row>
    <row r="22" ht="34.5" customHeight="1" s="17">
      <c r="A22" s="27" t="inlineStr">
        <is>
          <t>Control de versiones</t>
        </is>
      </c>
      <c r="B22" s="27" t="inlineStr">
        <is>
          <t>Git + GitHub (ramas y Pull Requests)</t>
        </is>
      </c>
      <c r="C22" s="21" t="inlineStr">
        <is>
          <t>Historial, revisión por Pull Request y trazabilidad de cada cambio.</t>
        </is>
      </c>
      <c r="D22" s="29" t="inlineStr">
        <is>
          <t>Hecho</t>
        </is>
      </c>
    </row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1">
    <mergeCell ref="A1:D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6" activeCellId="0" sqref="B6"/>
    </sheetView>
  </sheetViews>
  <sheetFormatPr baseColWidth="8" defaultColWidth="14.43359375" defaultRowHeight="15" zeroHeight="0" outlineLevelRow="0"/>
  <cols>
    <col width="26" customWidth="1" style="16" min="1" max="2"/>
    <col width="60" customWidth="1" style="16" min="3" max="3"/>
    <col width="12" customWidth="1" style="16" min="4" max="4"/>
    <col width="13" customWidth="1" style="16" min="5" max="5"/>
    <col width="8.710000000000001" customWidth="1" style="16" min="6" max="26"/>
  </cols>
  <sheetData>
    <row r="1" ht="19.5" customHeight="1" s="17">
      <c r="A1" s="18" t="inlineStr">
        <is>
          <t>Entorno Local — Creación y Configuración</t>
        </is>
      </c>
    </row>
    <row r="2" ht="15" customHeight="1" s="17">
      <c r="A2" s="19" t="n"/>
    </row>
    <row r="4" ht="15" customHeight="1" s="17">
      <c r="A4" s="25" t="inlineStr">
        <is>
          <t>Servicio</t>
        </is>
      </c>
      <c r="B4" s="25" t="inlineStr">
        <is>
          <t>Identificador propuesto</t>
        </is>
      </c>
      <c r="C4" s="25" t="inlineStr">
        <is>
          <t>Tareas de creación y configuración</t>
        </is>
      </c>
      <c r="D4" s="25" t="inlineStr">
        <is>
          <t>Responsable</t>
        </is>
      </c>
      <c r="E4" s="25" t="inlineStr">
        <is>
          <t>Estado</t>
        </is>
      </c>
    </row>
    <row r="5" ht="45" customHeight="1" s="17">
      <c r="A5" s="27" t="inlineStr">
        <is>
          <t>Variables de entorno (.env)</t>
        </is>
      </c>
      <c r="B5" s="27" t="inlineStr">
        <is>
          <t>.env / .env.example</t>
        </is>
      </c>
      <c r="C5" s="21" t="inlineStr">
        <is>
          <t>Crear .env.example con las variables necesarias; copiar a .env local; verificar que .env esté en .gitignore. iniciar.ps1 genera el .env con claves aleatorias (DB_PASSWORD, JWT_SECRET, SUPERADMIN_PASSWORD).</t>
        </is>
      </c>
      <c r="D5" s="27" t="inlineStr">
        <is>
          <t>Ambos</t>
        </is>
      </c>
      <c r="E5" s="29" t="inlineStr">
        <is>
          <t>Hecho</t>
        </is>
      </c>
    </row>
    <row r="6" ht="45" customHeight="1" s="17">
      <c r="A6" s="27" t="inlineStr">
        <is>
          <t>PostgreSQL + pgvector (Docker)</t>
        </is>
      </c>
      <c r="B6" s="27" t="inlineStr">
        <is>
          <t>chatbot-soporte-db</t>
        </is>
      </c>
      <c r="C6" s="21" t="inlineStr">
        <is>
          <t>Definir el servicio en docker-compose.yml con imagen pgvector/pgvector; publicar el puerto solo en 127.0.0.1 (configurable con DB_PORT: si 5432 está ocupado por otro PostgreSQL, iniciar.ps1 elige otro); activar la extensión; verificar la conexión desde SQLAlchemy. Falta probarlo con Docker.</t>
        </is>
      </c>
      <c r="D6" s="27" t="inlineStr">
        <is>
          <t>Ambos</t>
        </is>
      </c>
      <c r="E6" s="29" t="inlineStr">
        <is>
          <t>En curso</t>
        </is>
      </c>
    </row>
    <row r="7" ht="45" customHeight="1" s="17">
      <c r="A7" s="27" t="inlineStr">
        <is>
          <t>Almacenamiento de documentos</t>
        </is>
      </c>
      <c r="B7" s="27" t="inlineStr">
        <is>
          <t>storage/</t>
        </is>
      </c>
      <c r="C7" s="21" t="inlineStr">
        <is>
          <t>Crear carpeta local privada con subcarpetas por empresa; excluirla del repositorio (.gitignore); verificar lectura y escritura desde el backend.</t>
        </is>
      </c>
      <c r="D7" s="27" t="inlineStr">
        <is>
          <t>Ambos</t>
        </is>
      </c>
      <c r="E7" s="29" t="inlineStr">
        <is>
          <t>Hecho</t>
        </is>
      </c>
    </row>
    <row r="8" ht="45" customHeight="1" s="17">
      <c r="A8" s="27" t="inlineStr">
        <is>
          <t>Redis (Docker)</t>
        </is>
      </c>
      <c r="B8" s="27" t="inlineStr">
        <is>
          <t>chatbot-soporte-cache</t>
        </is>
      </c>
      <c r="C8" s="21" t="inlineStr">
        <is>
          <t>Definir el servicio en docker-compose.yml; publicar el puerto 6379 solo en 127.0.0.1; verificar la conexión desde Celery.</t>
        </is>
      </c>
      <c r="D8" s="27" t="inlineStr">
        <is>
          <t>Ambos</t>
        </is>
      </c>
      <c r="E8" s="29" t="inlineStr">
        <is>
          <t>Pendiente</t>
        </is>
      </c>
    </row>
    <row r="9" ht="45" customHeight="1" s="17">
      <c r="A9" s="27" t="inlineStr">
        <is>
          <t>Ejecución del sistema</t>
        </is>
      </c>
      <c r="B9" s="27" t="inlineStr">
        <is>
          <t>—</t>
        </is>
      </c>
      <c r="C9" s="21" t="inlineStr">
        <is>
          <t>Sin despliegue en la nube: el sistema se ejecuta y demuestra en local (backend con Uvicorn, frontend con Vite). Documentado en el README: .\iniciar.ps1 (con Docker) o .\iniciar.ps1 -SinDocker.</t>
        </is>
      </c>
      <c r="D9" s="27" t="inlineStr">
        <is>
          <t>Ambos</t>
        </is>
      </c>
      <c r="E9" s="29" t="inlineStr">
        <is>
          <t>Hecho</t>
        </is>
      </c>
    </row>
    <row r="10" ht="45" customHeight="1" s="17">
      <c r="A10" s="27" t="inlineStr">
        <is>
          <t>Arranque con un comando (Windows)</t>
        </is>
      </c>
      <c r="B10" s="27" t="inlineStr">
        <is>
          <t>iniciar.ps1 / detener.ps1</t>
        </is>
      </c>
      <c r="C10" s="21" t="inlineStr">
        <is>
          <t>Revisar requisitos, crear .env, levantar la base de datos, migrar, sembrar, instalar dependencias y abrir API y frontend; apagado limpio de Postgres.</t>
        </is>
      </c>
      <c r="D10" s="27" t="inlineStr">
        <is>
          <t>Fabián</t>
        </is>
      </c>
      <c r="E10" s="29" t="inlineStr">
        <is>
          <t>Hecho</t>
        </is>
      </c>
    </row>
    <row r="11" ht="45" customHeight="1" s="17">
      <c r="A11" s="27" t="inlineStr">
        <is>
          <t>Validación en la notebook de Vicente</t>
        </is>
      </c>
      <c r="B11" s="27" t="inlineStr">
        <is>
          <t>—</t>
        </is>
      </c>
      <c r="C11" s="21" t="inlineStr">
        <is>
          <t>Clonar el repositorio, correr iniciar.ps1 (o docker compose) y ejecutar pytest; confirmar RF-18 a RF-23 en la segunda notebook.</t>
        </is>
      </c>
      <c r="D11" s="27" t="inlineStr">
        <is>
          <t>Vicente</t>
        </is>
      </c>
      <c r="E11" s="29" t="inlineStr">
        <is>
          <t>Pendiente</t>
        </is>
      </c>
    </row>
    <row r="12" ht="45" customHeight="1" s="17">
      <c r="A12" s="27" t="inlineStr">
        <is>
          <t>Validación con Docker</t>
        </is>
      </c>
      <c r="B12" s="27" t="inlineStr">
        <is>
          <t>docker compose</t>
        </is>
      </c>
      <c r="C12" s="21" t="inlineStr">
        <is>
          <t>Levantar pgvector y Redis con Docker, ejecutar pytest con TEST_DATABASE_URL y probar el índice HNSW.</t>
        </is>
      </c>
      <c r="D12" s="27" t="inlineStr">
        <is>
          <t>Ambos</t>
        </is>
      </c>
      <c r="E12" s="29" t="inlineStr">
        <is>
          <t>Pendiente</t>
        </is>
      </c>
    </row>
    <row r="13"/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2">
    <mergeCell ref="A2:E2"/>
    <mergeCell ref="A1:E1"/>
  </mergeCell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7" min="1" max="1"/>
    <col width="46" customWidth="1" style="17" min="2" max="2"/>
    <col width="56" customWidth="1" style="17" min="3" max="3"/>
    <col width="13" customWidth="1" style="17" min="4" max="4"/>
    <col width="14" customWidth="1" style="17" min="5" max="5"/>
    <col width="11" customWidth="1" style="17" min="6" max="6"/>
    <col width="30" customWidth="1" style="17" min="7" max="7"/>
    <col width="12" customWidth="1" style="17" min="8" max="8"/>
  </cols>
  <sheetData>
    <row r="1" ht="19.5" customHeight="1" s="17">
      <c r="A1" s="33" t="inlineStr">
        <is>
          <t>Pendientes y qué falta — semana 10</t>
        </is>
      </c>
    </row>
    <row r="4">
      <c r="A4" s="31" t="inlineStr">
        <is>
          <t>#</t>
        </is>
      </c>
      <c r="B4" s="31" t="inlineStr">
        <is>
          <t>Qué falta</t>
        </is>
      </c>
      <c r="C4" s="31" t="inlineStr">
        <is>
          <t>Por qué / dependencia</t>
        </is>
      </c>
      <c r="D4" s="31" t="inlineStr">
        <is>
          <t>Responsable</t>
        </is>
      </c>
      <c r="E4" s="31" t="inlineStr">
        <is>
          <t>Semana objetivo</t>
        </is>
      </c>
      <c r="F4" s="31" t="inlineStr">
        <is>
          <t>Prioridad</t>
        </is>
      </c>
      <c r="G4" s="31" t="inlineStr">
        <is>
          <t>Requisito / EDT</t>
        </is>
      </c>
      <c r="H4" s="31" t="inlineStr">
        <is>
          <t>Estado</t>
        </is>
      </c>
    </row>
    <row r="5" ht="48" customHeight="1" s="17">
      <c r="A5" s="32" t="n">
        <v>1</v>
      </c>
      <c r="B5" s="34" t="inlineStr">
        <is>
          <t>Prueba en vivo con DeepSeek y ajuste de umbral y tono</t>
        </is>
      </c>
      <c r="C5" s="34" t="inlineStr">
        <is>
          <t>Necesita la API key de DeepSeek (aún no disponible). El código y las pruebas con LLM simulado ya están.</t>
        </is>
      </c>
      <c r="D5" s="32" t="inlineStr">
        <is>
          <t>Ambos</t>
        </is>
      </c>
      <c r="E5" s="32" t="inlineStr">
        <is>
          <t>S11</t>
        </is>
      </c>
      <c r="F5" s="35" t="inlineStr">
        <is>
          <t>Alta</t>
        </is>
      </c>
      <c r="G5" s="34" t="inlineStr">
        <is>
          <t>RF-09 · EDT 4.17</t>
        </is>
      </c>
      <c r="H5" s="36" t="inlineStr">
        <is>
          <t>Pendiente</t>
        </is>
      </c>
    </row>
    <row r="6" ht="48" customHeight="1" s="17">
      <c r="A6" s="32" t="n">
        <v>2</v>
      </c>
      <c r="B6" s="34" t="inlineStr">
        <is>
          <t>Integración real con la API de Corestream (httpx)</t>
        </is>
      </c>
      <c r="C6" s="34" t="inlineStr">
        <is>
          <t>Falta la documentación y las credenciales de Corestream. Hoy funciona con el mock.</t>
        </is>
      </c>
      <c r="D6" s="32" t="inlineStr">
        <is>
          <t>Fabián</t>
        </is>
      </c>
      <c r="E6" s="32" t="inlineStr">
        <is>
          <t>S11-S12</t>
        </is>
      </c>
      <c r="F6" s="35" t="inlineStr">
        <is>
          <t>Alta</t>
        </is>
      </c>
      <c r="G6" s="34" t="inlineStr">
        <is>
          <t>RF-38 · EDT 4.18</t>
        </is>
      </c>
      <c r="H6" s="36" t="inlineStr">
        <is>
          <t>Pendiente</t>
        </is>
      </c>
    </row>
    <row r="7" ht="48" customHeight="1" s="17">
      <c r="A7" s="32" t="n">
        <v>3</v>
      </c>
      <c r="B7" s="34" t="inlineStr">
        <is>
          <t>Celery + Redis para la ingesta y el cierre automático de encuestas</t>
        </is>
      </c>
      <c r="C7" s="34" t="inlineStr">
        <is>
          <t>Hoy se usa BackgroundTasks y el cierre de 72 h se aplica al leer.</t>
        </is>
      </c>
      <c r="D7" s="32" t="inlineStr">
        <is>
          <t>Vicente</t>
        </is>
      </c>
      <c r="E7" s="32" t="inlineStr">
        <is>
          <t>S11-S12</t>
        </is>
      </c>
      <c r="F7" s="35" t="inlineStr">
        <is>
          <t>Media</t>
        </is>
      </c>
      <c r="G7" s="34" t="inlineStr">
        <is>
          <t>RF-06, RF-22, RF-39 · EDT 4.19</t>
        </is>
      </c>
      <c r="H7" s="36" t="inlineStr">
        <is>
          <t>Pendiente</t>
        </is>
      </c>
    </row>
    <row r="8" ht="48" customHeight="1" s="17">
      <c r="A8" s="32" t="n">
        <v>4</v>
      </c>
      <c r="B8" s="34" t="inlineStr">
        <is>
          <t>Validar el entorno con Docker y en la notebook de Vicente</t>
        </is>
      </c>
      <c r="C8" s="34" t="inlineStr">
        <is>
          <t>Docker no está instalado en la notebook de Fabián; falta probar pgvector con índice HNSW y pytest contra Docker.</t>
        </is>
      </c>
      <c r="D8" s="32" t="inlineStr">
        <is>
          <t>Ambos</t>
        </is>
      </c>
      <c r="E8" s="32" t="inlineStr">
        <is>
          <t>S11</t>
        </is>
      </c>
      <c r="F8" s="35" t="inlineStr">
        <is>
          <t>Alta</t>
        </is>
      </c>
      <c r="G8" s="34" t="inlineStr">
        <is>
          <t>RF-18, RF-20 · EDT 3.1, 3.3, 3.5, 3.6</t>
        </is>
      </c>
      <c r="H8" s="36" t="inlineStr">
        <is>
          <t>Pendiente</t>
        </is>
      </c>
    </row>
    <row r="9" ht="48" customHeight="1" s="17">
      <c r="A9" s="32" t="n">
        <v>5</v>
      </c>
      <c r="B9" s="34" t="inlineStr">
        <is>
          <t>Revisión cruzada del motor RAG, embeddings y roles</t>
        </is>
      </c>
      <c r="C9" s="34" t="inlineStr">
        <is>
          <t>El motor RAG y los embeddings se implementaron desde el repositorio de Fabián; Vicente (responsable original) debe revisarlos y validarlos.</t>
        </is>
      </c>
      <c r="D9" s="32" t="inlineStr">
        <is>
          <t>Vicente</t>
        </is>
      </c>
      <c r="E9" s="32" t="inlineStr">
        <is>
          <t>S11</t>
        </is>
      </c>
      <c r="F9" s="35" t="inlineStr">
        <is>
          <t>Media</t>
        </is>
      </c>
      <c r="G9" s="34" t="inlineStr">
        <is>
          <t>RNF-09 · EDT 4.16</t>
        </is>
      </c>
      <c r="H9" s="36" t="inlineStr">
        <is>
          <t>Pendiente</t>
        </is>
      </c>
    </row>
    <row r="10" ht="48" customHeight="1" s="17">
      <c r="A10" s="32" t="n">
        <v>6</v>
      </c>
      <c r="B10" s="34" t="inlineStr">
        <is>
          <t>Repetir la batería de calidad con DeepSeek real (alucinaciones)</t>
        </is>
      </c>
      <c r="C10" s="34" t="inlineStr">
        <is>
          <t>Hoy se midió solo la recuperación; falta medir las respuestas generadas.</t>
        </is>
      </c>
      <c r="D10" s="32" t="inlineStr">
        <is>
          <t>Ambos</t>
        </is>
      </c>
      <c r="E10" s="32" t="inlineStr">
        <is>
          <t>S12</t>
        </is>
      </c>
      <c r="F10" s="35" t="inlineStr">
        <is>
          <t>Alta</t>
        </is>
      </c>
      <c r="G10" s="34" t="inlineStr">
        <is>
          <t>RNF-05 · EDT 5.4</t>
        </is>
      </c>
      <c r="H10" s="36" t="inlineStr">
        <is>
          <t>Pendiente</t>
        </is>
      </c>
    </row>
    <row r="11" ht="48" customHeight="1" s="17">
      <c r="A11" s="32" t="n">
        <v>7</v>
      </c>
      <c r="B11" s="34" t="inlineStr">
        <is>
          <t>Medición de tiempos de respuesta</t>
        </is>
      </c>
      <c r="C11" s="34" t="inlineStr">
        <is>
          <t>Sin medición formal todavía.</t>
        </is>
      </c>
      <c r="D11" s="32" t="inlineStr">
        <is>
          <t>Ambos</t>
        </is>
      </c>
      <c r="E11" s="32" t="inlineStr">
        <is>
          <t>S13</t>
        </is>
      </c>
      <c r="F11" s="35" t="inlineStr">
        <is>
          <t>Media</t>
        </is>
      </c>
      <c r="G11" s="34" t="inlineStr">
        <is>
          <t>RNF-06 · EDT 5.5</t>
        </is>
      </c>
      <c r="H11" s="36" t="inlineStr">
        <is>
          <t>Pendiente</t>
        </is>
      </c>
    </row>
    <row r="12" ht="48" customHeight="1" s="17">
      <c r="A12" s="32" t="n">
        <v>8</v>
      </c>
      <c r="B12" s="34" t="inlineStr">
        <is>
          <t>Pruebas de aceptación con los cuatro roles y corrección de errores</t>
        </is>
      </c>
      <c r="C12" s="34" t="inlineStr">
        <is>
          <t>Recorrer el sistema como cada rol con casos documentados.</t>
        </is>
      </c>
      <c r="D12" s="32" t="inlineStr">
        <is>
          <t>Ambos</t>
        </is>
      </c>
      <c r="E12" s="32" t="inlineStr">
        <is>
          <t>S13-S14</t>
        </is>
      </c>
      <c r="F12" s="35" t="inlineStr">
        <is>
          <t>Alta</t>
        </is>
      </c>
      <c r="G12" s="34" t="inlineStr">
        <is>
          <t>EDT 5.5, 6.1</t>
        </is>
      </c>
      <c r="H12" s="36" t="inlineStr">
        <is>
          <t>Pendiente</t>
        </is>
      </c>
    </row>
    <row r="13" ht="48" customHeight="1" s="17">
      <c r="A13" s="32" t="n">
        <v>9</v>
      </c>
      <c r="B13" s="34" t="inlineStr">
        <is>
          <t>Documentación final: manual, diagramas y README</t>
        </is>
      </c>
      <c r="C13" s="34" t="inlineStr">
        <is>
          <t>El manual ya tiene capturas actualizadas; falta la versión final y revisar diagramas.</t>
        </is>
      </c>
      <c r="D13" s="32" t="inlineStr">
        <is>
          <t>Ambos</t>
        </is>
      </c>
      <c r="E13" s="32" t="inlineStr">
        <is>
          <t>S14-S16</t>
        </is>
      </c>
      <c r="F13" s="35" t="inlineStr">
        <is>
          <t>Alta</t>
        </is>
      </c>
      <c r="G13" s="34" t="inlineStr">
        <is>
          <t>RF-27 · EDT 6.2</t>
        </is>
      </c>
      <c r="H13" s="36" t="inlineStr">
        <is>
          <t>En curso</t>
        </is>
      </c>
    </row>
    <row r="14" ht="48" customHeight="1" s="17">
      <c r="A14" s="32" t="n">
        <v>10</v>
      </c>
      <c r="B14" s="34" t="inlineStr">
        <is>
          <t>Entregables del Capstone: informe final, abstract ES/EN, conclusiones y reflexión individual (inglés), presentación</t>
        </is>
      </c>
      <c r="C14" s="34" t="inlineStr">
        <is>
          <t>Entrega Fase 3.</t>
        </is>
      </c>
      <c r="D14" s="32" t="inlineStr">
        <is>
          <t>Ambos</t>
        </is>
      </c>
      <c r="E14" s="32" t="inlineStr">
        <is>
          <t>S15-S17</t>
        </is>
      </c>
      <c r="F14" s="35" t="inlineStr">
        <is>
          <t>Alta</t>
        </is>
      </c>
      <c r="G14" s="34" t="inlineStr">
        <is>
          <t>EDT 6.3, 6.5</t>
        </is>
      </c>
      <c r="H14" s="36" t="inlineStr">
        <is>
          <t>Pendiente</t>
        </is>
      </c>
    </row>
    <row r="15" ht="48" customHeight="1" s="17">
      <c r="A15" s="32" t="n">
        <v>11</v>
      </c>
      <c r="B15" s="34" t="inlineStr">
        <is>
          <t>Decidir la visibilidad del repositorio (hoy público) y proteger la rama main</t>
        </is>
      </c>
      <c r="C15" s="34" t="inlineStr">
        <is>
          <t>El repositorio incluye los Excel de planificación y nombres de empresas.</t>
        </is>
      </c>
      <c r="D15" s="32" t="inlineStr">
        <is>
          <t>Fabián</t>
        </is>
      </c>
      <c r="E15" s="32" t="inlineStr">
        <is>
          <t>S11</t>
        </is>
      </c>
      <c r="F15" s="37" t="inlineStr">
        <is>
          <t>Baja</t>
        </is>
      </c>
      <c r="G15" s="34" t="inlineStr">
        <is>
          <t>RNF-02, RNF-08</t>
        </is>
      </c>
      <c r="H15" s="36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2026-09-22T23:23:28Z</dcterms:created>
  <dcterms:modified xmlns:dcterms="http://purl.org/dc/terms/" xmlns:xsi="http://www.w3.org/2001/XMLSchema-instance" xsi:type="dcterms:W3CDTF">2026-10-13T04:44:36Z</dcterms:modified>
  <cp:revision>0</cp:revision>
</cp:coreProperties>
</file>