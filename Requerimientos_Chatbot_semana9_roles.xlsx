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Requisitos Funcionales" sheetId="2" state="visible" r:id="rId4"/>
    <sheet name="Requisitos No Funcionales" sheetId="3" state="visible" r:id="rId5"/>
    <sheet name="EDT" sheetId="4" state="visible" r:id="rId6"/>
    <sheet name="Cronograma por Fases" sheetId="5" state="visible" r:id="rId7"/>
    <sheet name="Stack Tecnológico" sheetId="6" state="visible" r:id="rId8"/>
    <sheet name="Entorno Loc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<sst xmlns="http://schemas.openxmlformats.org/spreadsheetml/2006/main" count="638" uniqueCount="348">
  <si>
    <t xml:space="preserve">Requerimientos del Proyecto — Metodología Clásica (Cascada)</t>
  </si>
  <si>
    <t xml:space="preserve">Chatbot de Soporte Genérico Alloxentric — Capstone PTY4614, Duoc UC</t>
  </si>
  <si>
    <t xml:space="preserve">Versión alternativa del Excel de requerimientos, usando ciclo de vida en cascada (SDLC clásico) en vez de Scrum. El proyecto se desarrolla y ejecuta 100% en local, sin servicios en la nube. Estados actualizados en la semana 9 (replanificación).</t>
  </si>
  <si>
    <t xml:space="preserve">Metodología</t>
  </si>
  <si>
    <t xml:space="preserve">Cascada (Waterfall) — fases secuenciales con entregables verificables al cierre de cada una</t>
  </si>
  <si>
    <t xml:space="preserve">Fases del proyecto</t>
  </si>
  <si>
    <t xml:space="preserve">1. Análisis · 2. Diseño · 3. Configuración del Entorno Local · 4. Desarrollo · 5. Pruebas · 6. Implementación y Cierre</t>
  </si>
  <si>
    <t xml:space="preserve">Equipo</t>
  </si>
  <si>
    <t xml:space="preserve">Fabián Armijo, Vicente Balladares</t>
  </si>
  <si>
    <t xml:space="preserve">Cronograma base</t>
  </si>
  <si>
    <t xml:space="preserve">Mismas semanas de la Carta Gantt revisada (S1-S17); ver hoja "Cronograma por Fases"</t>
  </si>
  <si>
    <t xml:space="preserve">Última actualización</t>
  </si>
  <si>
    <t xml:space="preserve">6 de octubre de 2026</t>
  </si>
  <si>
    <t xml:space="preserve">Resumen de Requisitos</t>
  </si>
  <si>
    <t xml:space="preserve">Métrica</t>
  </si>
  <si>
    <t xml:space="preserve">Valor</t>
  </si>
  <si>
    <t xml:space="preserve">Total de requisitos funcionales</t>
  </si>
  <si>
    <t xml:space="preserve">Requisitos funcionales — Prioridad Alta</t>
  </si>
  <si>
    <t xml:space="preserve">Requisitos funcionales — Prioridad Media</t>
  </si>
  <si>
    <t xml:space="preserve">Requisitos funcionales — Prioridad Baja</t>
  </si>
  <si>
    <t xml:space="preserve">Requisitos en estado 'Hecho'</t>
  </si>
  <si>
    <t xml:space="preserve">Requisitos en estado 'En curso'</t>
  </si>
  <si>
    <t xml:space="preserve">Requisitos 'Pendiente'</t>
  </si>
  <si>
    <t xml:space="preserve">Total de requisitos no funcionales</t>
  </si>
  <si>
    <t xml:space="preserve">Total de tareas en la EDT</t>
  </si>
  <si>
    <t xml:space="preserve">Requisitos funcionales por fase</t>
  </si>
  <si>
    <t xml:space="preserve">Fase</t>
  </si>
  <si>
    <t xml:space="preserve">Cantidad de requisitos</t>
  </si>
  <si>
    <t xml:space="preserve">1. Análisis</t>
  </si>
  <si>
    <t xml:space="preserve">2. Diseño</t>
  </si>
  <si>
    <t xml:space="preserve">3. Configuración del Entorno Local</t>
  </si>
  <si>
    <t xml:space="preserve">4. Desarrollo</t>
  </si>
  <si>
    <t xml:space="preserve">5. Pruebas</t>
  </si>
  <si>
    <t xml:space="preserve">6. Implementación y Cierre</t>
  </si>
  <si>
    <t xml:space="preserve">Especificación de Requisitos Funcionales</t>
  </si>
  <si>
    <t xml:space="preserve">ID</t>
  </si>
  <si>
    <t xml:space="preserve">Módulo</t>
  </si>
  <si>
    <t xml:space="preserve">Descripción</t>
  </si>
  <si>
    <t xml:space="preserve">Prioridad</t>
  </si>
  <si>
    <t xml:space="preserve">Entregable asociado</t>
  </si>
  <si>
    <t xml:space="preserve">Responsable</t>
  </si>
  <si>
    <t xml:space="preserve">Estado</t>
  </si>
  <si>
    <t xml:space="preserve">RF-01</t>
  </si>
  <si>
    <t xml:space="preserve">Modelo de datos</t>
  </si>
  <si>
    <t xml:space="preserve">El sistema debe contar con un modelo de datos multi-tenant (empresas, documentos, fragmentos_embeddings, conversaciones, mensajes, tickets), donde toda la información quede aislada por empresa.</t>
  </si>
  <si>
    <t xml:space="preserve">Alta</t>
  </si>
  <si>
    <t xml:space="preserve">Modelo de datos implementado (backend/app/models/)</t>
  </si>
  <si>
    <t xml:space="preserve">Vicente</t>
  </si>
  <si>
    <t xml:space="preserve">Hecho</t>
  </si>
  <si>
    <t xml:space="preserve">RF-02</t>
  </si>
  <si>
    <t xml:space="preserve">El sistema debe versionar los cambios de esquema de base de datos mediante migraciones (Alembic), incluyendo la activación de la extensión pgvector.</t>
  </si>
  <si>
    <t xml:space="preserve">Migración inicial aplicada en PostgreSQL local</t>
  </si>
  <si>
    <t xml:space="preserve">RF-03</t>
  </si>
  <si>
    <t xml:space="preserve">Plataforma base</t>
  </si>
  <si>
    <t xml:space="preserve">El sistema debe exponer endpoints para dar de alta y administrar empresas (solo superadmin) y usuarios de cada empresa, con su rol asignado (RF-28 y RF-30).</t>
  </si>
  <si>
    <t xml:space="preserve">Endpoints CRUD de empresas y usuarios documentados en /docs</t>
  </si>
  <si>
    <t xml:space="preserve">Fabián</t>
  </si>
  <si>
    <t xml:space="preserve">RF-04</t>
  </si>
  <si>
    <t xml:space="preserve">Ingesta de documentos</t>
  </si>
  <si>
    <t xml:space="preserve">El sistema debe permitir a una empresa cliente subir documentos (PDF, DOCX) y preguntas frecuentes para construir su base de conocimiento.</t>
  </si>
  <si>
    <t xml:space="preserve">Endpoint de carga de documentos, almacenamiento en carpeta local privada</t>
  </si>
  <si>
    <t xml:space="preserve">En curso</t>
  </si>
  <si>
    <t xml:space="preserve">RF-05</t>
  </si>
  <si>
    <t xml:space="preserve">El sistema debe dividir los documentos cargados en fragmentos y generar sus embeddings mediante un modelo local, asociados a la empresa correspondiente.</t>
  </si>
  <si>
    <t xml:space="preserve">Pipeline de vectorización funcional</t>
  </si>
  <si>
    <t xml:space="preserve">RF-06</t>
  </si>
  <si>
    <t xml:space="preserve">El sistema debe procesar la ingesta de documentos en segundo plano, sin bloquear al usuario durante la carga.</t>
  </si>
  <si>
    <t xml:space="preserve">Media</t>
  </si>
  <si>
    <t xml:space="preserve">Tareas asíncronas con Celery en funcionamiento</t>
  </si>
  <si>
    <t xml:space="preserve">RF-07</t>
  </si>
  <si>
    <t xml:space="preserve">Motor conversacional</t>
  </si>
  <si>
    <t xml:space="preserve">El sistema debe generar respuestas a las consultas del usuario final basándose en el conocimiento de su empresa (RAG).</t>
  </si>
  <si>
    <t xml:space="preserve">Motor RAG funcional (hoy provisorio por palabras clave), con pruebas de respuesta</t>
  </si>
  <si>
    <t xml:space="preserve">RF-08</t>
  </si>
  <si>
    <t xml:space="preserve">El sistema debe determinar, mediante un clasificador, si puede responder una consulta o si debe derivarla a un agente humano.</t>
  </si>
  <si>
    <t xml:space="preserve">Clasificador de intención integrado al motor RAG</t>
  </si>
  <si>
    <t xml:space="preserve">RF-09</t>
  </si>
  <si>
    <t xml:space="preserve">El sistema debe conectarse a la API de DeepSeek para generar las respuestas en lenguaje natural.</t>
  </si>
  <si>
    <t xml:space="preserve">Integración con DeepSeek documentada y probada (pendiente: motor RAG real)</t>
  </si>
  <si>
    <t xml:space="preserve">Pendiente</t>
  </si>
  <si>
    <t xml:space="preserve">RF-10</t>
  </si>
  <si>
    <t xml:space="preserve">Interfaz de chat</t>
  </si>
  <si>
    <t xml:space="preserve">El sistema debe ofrecer una interfaz de chat web donde el usuario final escriba su consulta y reciba la respuesta del bot.</t>
  </si>
  <si>
    <t xml:space="preserve">Widget de chat funcional</t>
  </si>
  <si>
    <t xml:space="preserve">RF-11</t>
  </si>
  <si>
    <t xml:space="preserve">El sistema debe indicar visualmente al usuario cuándo su conversación fue derivada a un agente humano.</t>
  </si>
  <si>
    <t xml:space="preserve">Estado de derivación visible en la interfaz</t>
  </si>
  <si>
    <t xml:space="preserve">RF-12</t>
  </si>
  <si>
    <t xml:space="preserve">Derivación a Corestream</t>
  </si>
  <si>
    <t xml:space="preserve">El sistema debe crear un ticket en Corestream cuando el motor conversacional no pueda resolver una consulta.</t>
  </si>
  <si>
    <t xml:space="preserve">Integración con la API de Corestream (o su mock)</t>
  </si>
  <si>
    <t xml:space="preserve">RF-13</t>
  </si>
  <si>
    <t xml:space="preserve">El sistema debe contar con un servicio simulado (mock) de Corestream para desarrollo y pruebas sin depender de credenciales reales.</t>
  </si>
  <si>
    <t xml:space="preserve">Servicio mock activable vía CORESTREAM_MOCK</t>
  </si>
  <si>
    <t xml:space="preserve">RF-14</t>
  </si>
  <si>
    <t xml:space="preserve">MVP — Vista Corestream</t>
  </si>
  <si>
    <t xml:space="preserve">El sistema debe ofrecer una consola donde el agente humano visualice los tickets derivados y su estado.</t>
  </si>
  <si>
    <t xml:space="preserve">Vista de consola de soporte (frontend MVP)</t>
  </si>
  <si>
    <t xml:space="preserve">RF-15</t>
  </si>
  <si>
    <t xml:space="preserve">El sistema debe mostrar, en la consola de soporte, la transcripción completa de la conversación y una respuesta sugerida por IA.</t>
  </si>
  <si>
    <t xml:space="preserve">Panel de detalle de ticket con sugerencia de IA</t>
  </si>
  <si>
    <t xml:space="preserve">RF-16</t>
  </si>
  <si>
    <t xml:space="preserve">MVP — Vista despliegue de agentes</t>
  </si>
  <si>
    <t xml:space="preserve">El sistema debe ofrecer un panel de administración donde se configure y active el agente conversacional de cada empresa cliente.</t>
  </si>
  <si>
    <t xml:space="preserve">Vista de panel de administración (frontend MVP)</t>
  </si>
  <si>
    <t xml:space="preserve">RF-17</t>
  </si>
  <si>
    <t xml:space="preserve">El sistema debe generar automáticamente un enlace único de chat embebible por cada empresa configurada.</t>
  </si>
  <si>
    <t xml:space="preserve">Enlace y snippet del widget visibles en el panel</t>
  </si>
  <si>
    <t xml:space="preserve">RF-18</t>
  </si>
  <si>
    <t xml:space="preserve">Entorno local</t>
  </si>
  <si>
    <t xml:space="preserve">El proyecto debe contar con un entorno de desarrollo local reproducible (Python 3.11+, Node.js y Docker Compose) funcionando en ambas notebooks del equipo.</t>
  </si>
  <si>
    <t xml:space="preserve">Entorno funcionando en ambas notebooks; docker-compose.yml y README de instalación</t>
  </si>
  <si>
    <t xml:space="preserve">Ambos</t>
  </si>
  <si>
    <t xml:space="preserve">RF-19</t>
  </si>
  <si>
    <t xml:space="preserve">El proyecto debe gestionar su configuración y credenciales mediante un archivo .env local (con .env.example en el repositorio), sin versionar secretos.</t>
  </si>
  <si>
    <t xml:space="preserve">.env.example en el repo, .env excluido por .gitignore</t>
  </si>
  <si>
    <t xml:space="preserve">RF-20</t>
  </si>
  <si>
    <t xml:space="preserve">El proyecto debe contar con una instancia local de PostgreSQL con la extensión pgvector activada (contenedor Docker), con el mismo esquema en ambas notebooks mediante migraciones.</t>
  </si>
  <si>
    <t xml:space="preserve">PostgreSQL + pgvector corriendo en local</t>
  </si>
  <si>
    <t xml:space="preserve">RF-21</t>
  </si>
  <si>
    <t xml:space="preserve">El proyecto debe contar con una carpeta local privada para almacenar los documentos originales subidos por cada empresa, organizada por empresa y excluida del repositorio.</t>
  </si>
  <si>
    <t xml:space="preserve">Carpeta storage/ creada, en .gitignore</t>
  </si>
  <si>
    <t xml:space="preserve">RF-22</t>
  </si>
  <si>
    <t xml:space="preserve">El proyecto debe contar con una instancia local de Redis (contenedor Docker) para el procesamiento en segundo plano con Celery.</t>
  </si>
  <si>
    <t xml:space="preserve">Redis local disponible para Celery</t>
  </si>
  <si>
    <t xml:space="preserve">RF-23</t>
  </si>
  <si>
    <t xml:space="preserve">Los servicios locales (PostgreSQL y Redis) deben publicarse únicamente en localhost (127.0.0.1), sin exponerse a la red.</t>
  </si>
  <si>
    <t xml:space="preserve">Puertos publicados solo en 127.0.0.1, verificado</t>
  </si>
  <si>
    <t xml:space="preserve">RF-24</t>
  </si>
  <si>
    <t xml:space="preserve">Pruebas</t>
  </si>
  <si>
    <t xml:space="preserve">El sistema debe contar con pruebas unitarias para cada servicio de negocio (ingesta, motor RAG, derivación).</t>
  </si>
  <si>
    <t xml:space="preserve">Suite de pruebas en backend/tests/, pytest sin errores</t>
  </si>
  <si>
    <t xml:space="preserve">RF-25</t>
  </si>
  <si>
    <t xml:space="preserve">El sistema debe validarse mediante una prueba de aislamiento multi-tenant, que confirme que no se filtran datos entre empresas.</t>
  </si>
  <si>
    <t xml:space="preserve">Caso de prueba de aislamiento aprobado</t>
  </si>
  <si>
    <t xml:space="preserve">RF-26</t>
  </si>
  <si>
    <t xml:space="preserve">El sistema debe validarse mediante una prueba de punta a punta que recorra el flujo completo: consulta, respuesta o derivación, y creación de ticket.</t>
  </si>
  <si>
    <t xml:space="preserve">Caso de prueba end-to-end aprobado</t>
  </si>
  <si>
    <t xml:space="preserve">RF-27</t>
  </si>
  <si>
    <t xml:space="preserve">Documentación</t>
  </si>
  <si>
    <t xml:space="preserve">El proyecto debe entregar documentación técnica completa (arquitectura, modelo de datos, cronograma) y un manual básico de uso del sistema.</t>
  </si>
  <si>
    <t xml:space="preserve">docs/ completo + manual de usuario</t>
  </si>
  <si>
    <t xml:space="preserve">RF-28</t>
  </si>
  <si>
    <t xml:space="preserve">El sistema debe autenticar a los usuarios del panel (login con JWT, claves con hash PBKDF2) y proteger todos los endpoints de administración.</t>
  </si>
  <si>
    <t xml:space="preserve">Login funcional; endpoints protegidos; 401 sin token válido</t>
  </si>
  <si>
    <t xml:space="preserve">RF-29</t>
  </si>
  <si>
    <t xml:space="preserve">El sistema debe ofrecer un widget embebible (script JS) y una página pública de chat por empresa, que usen la API key del tenant.</t>
  </si>
  <si>
    <t xml:space="preserve">widget.min.js + página pública /chat/{slug}</t>
  </si>
  <si>
    <t xml:space="preserve">RF-30</t>
  </si>
  <si>
    <t xml:space="preserve">El sistema debe definir cuatro roles —superadmin, admin de empresa, encargado de tickets y encargado del agente IA— y autorizar cada acción según el rol, aislando siempre a los usuarios de empresa en los datos de su propia empresa.</t>
  </si>
  <si>
    <t xml:space="preserve">Matriz de permisos implementada y probada (docs/MATRIZ_PERMISOS.md); 22 pruebas de roles</t>
  </si>
  <si>
    <t xml:space="preserve">Requisitos No Funcionales</t>
  </si>
  <si>
    <t xml:space="preserve">Categoría</t>
  </si>
  <si>
    <t xml:space="preserve">Cómo se verifica</t>
  </si>
  <si>
    <t xml:space="preserve">RNF-01</t>
  </si>
  <si>
    <t xml:space="preserve">Seguridad</t>
  </si>
  <si>
    <t xml:space="preserve">Aislamiento multi-tenant total: ninguna consulta puede retornar datos de más de una empresa a la vez.</t>
  </si>
  <si>
    <t xml:space="preserve">Caso de prueba de aislamiento (RF-25)</t>
  </si>
  <si>
    <t xml:space="preserve">RNF-02</t>
  </si>
  <si>
    <t xml:space="preserve">Ninguna credencial (API keys, contraseñas) se almacena en el código ni en el repositorio.</t>
  </si>
  <si>
    <t xml:space="preserve">Revisión de código + .gitignore incluye .env</t>
  </si>
  <si>
    <t xml:space="preserve">RNF-03</t>
  </si>
  <si>
    <t xml:space="preserve">Los servicios locales (PostgreSQL y Redis) solo escuchan en localhost (127.0.0.1), sin exponerse a la red.</t>
  </si>
  <si>
    <t xml:space="preserve">Revisión de docker-compose.yml y de los puertos publicados</t>
  </si>
  <si>
    <t xml:space="preserve">RNF-04</t>
  </si>
  <si>
    <t xml:space="preserve">Los documentos originales se guardan en una carpeta local privada, excluida del repositorio; solo el backend accede a ella.</t>
  </si>
  <si>
    <t xml:space="preserve">Revisión de .gitignore y de la carpeta de almacenamiento</t>
  </si>
  <si>
    <t xml:space="preserve">RNF-05</t>
  </si>
  <si>
    <t xml:space="preserve">Calidad / IA</t>
  </si>
  <si>
    <t xml:space="preserve">El motor RAG no debe generar respuestas sin respaldo en los documentos recuperados (evitar alucinaciones).</t>
  </si>
  <si>
    <t xml:space="preserve">Revisión manual de respuestas durante pruebas</t>
  </si>
  <si>
    <t xml:space="preserve">RNF-06</t>
  </si>
  <si>
    <t xml:space="preserve">Rendimiento</t>
  </si>
  <si>
    <t xml:space="preserve">El sistema debe responder a una consulta del usuario en un tiempo razonable, sin bloquear la interfaz.</t>
  </si>
  <si>
    <t xml:space="preserve">Medición de tiempo de respuesta en pruebas manuales</t>
  </si>
  <si>
    <t xml:space="preserve">RNF-07</t>
  </si>
  <si>
    <t xml:space="preserve">Costos</t>
  </si>
  <si>
    <t xml:space="preserve">El desarrollo debe operar sin costos de infraestructura: todo corre en local con software open source; el único gasto posible es el uso de la API de DeepSeek.</t>
  </si>
  <si>
    <t xml:space="preserve">Revisión del consumo de la API de DeepSeek</t>
  </si>
  <si>
    <t xml:space="preserve">RNF-08</t>
  </si>
  <si>
    <t xml:space="preserve">Proceso</t>
  </si>
  <si>
    <t xml:space="preserve">El repositorio debe mantener historial de commits y documentación de avance actualizada.</t>
  </si>
  <si>
    <t xml:space="preserve">Revisión del historial de git y la documentación</t>
  </si>
  <si>
    <t xml:space="preserve">RNF-09</t>
  </si>
  <si>
    <t xml:space="preserve">El código debe seguir las convenciones definidas en CLAUDE.md (estructura de carpetas, nombres, multi-tenant por diseño).</t>
  </si>
  <si>
    <t xml:space="preserve">Revisión de código entre integrantes</t>
  </si>
  <si>
    <t xml:space="preserve">RNF-10</t>
  </si>
  <si>
    <t xml:space="preserve">Plazo</t>
  </si>
  <si>
    <t xml:space="preserve">El proyecto debe completarse dentro de las semanas definidas en el cronograma para cada fase de la asignatura.</t>
  </si>
  <si>
    <t xml:space="preserve">Seguimiento del cronograma por fases</t>
  </si>
  <si>
    <t xml:space="preserve">EDT — Estructura de Descomposición del Trabajo</t>
  </si>
  <si>
    <t xml:space="preserve">Código EDT</t>
  </si>
  <si>
    <t xml:space="preserve">Tarea</t>
  </si>
  <si>
    <t xml:space="preserve">Semana(s)</t>
  </si>
  <si>
    <t xml:space="preserve">Entregable</t>
  </si>
  <si>
    <t xml:space="preserve">1.1</t>
  </si>
  <si>
    <t xml:space="preserve">Levantamiento de requerimientos funcionales y no funcionales</t>
  </si>
  <si>
    <t xml:space="preserve">S1-S4 (previo)</t>
  </si>
  <si>
    <t xml:space="preserve">1.2</t>
  </si>
  <si>
    <t xml:space="preserve">Definición de alcance (dentro / fuera del MVP)</t>
  </si>
  <si>
    <t xml:space="preserve">2.1</t>
  </si>
  <si>
    <t xml:space="preserve">Diseño de la arquitectura de software</t>
  </si>
  <si>
    <t xml:space="preserve">2.2</t>
  </si>
  <si>
    <t xml:space="preserve">Diseño del modelo de datos multi-tenant</t>
  </si>
  <si>
    <t xml:space="preserve">2.3</t>
  </si>
  <si>
    <t xml:space="preserve">Diseño conceptual de las vistas del MVP (Corestream y despliegue de agentes)</t>
  </si>
  <si>
    <t xml:space="preserve">.ZIP con el código</t>
  </si>
  <si>
    <t xml:space="preserve">3.1</t>
  </si>
  <si>
    <t xml:space="preserve">Instalación y configuración de Python, Node.js y Docker en ambas notebooks</t>
  </si>
  <si>
    <t xml:space="preserve">S1</t>
  </si>
  <si>
    <t xml:space="preserve">Entorno de desarrollo operativo</t>
  </si>
  <si>
    <t xml:space="preserve">3.2</t>
  </si>
  <si>
    <t xml:space="preserve">Configuración del repositorio y del archivo .env (con .env.example)</t>
  </si>
  <si>
    <t xml:space="preserve">.env.example en el repo, .env ignorado</t>
  </si>
  <si>
    <t xml:space="preserve">3.3</t>
  </si>
  <si>
    <t xml:space="preserve">Levantar PostgreSQL + pgvector local con Docker Compose</t>
  </si>
  <si>
    <t xml:space="preserve">Base de datos local disponible</t>
  </si>
  <si>
    <t xml:space="preserve">3.4</t>
  </si>
  <si>
    <t xml:space="preserve">Creación de la carpeta local de almacenamiento de documentos</t>
  </si>
  <si>
    <t xml:space="preserve">Carpeta storage/ configurada</t>
  </si>
  <si>
    <t xml:space="preserve">3.5</t>
  </si>
  <si>
    <t xml:space="preserve">Levantar Redis local con Docker Compose para Celery</t>
  </si>
  <si>
    <t xml:space="preserve">Redis local disponible</t>
  </si>
  <si>
    <t xml:space="preserve">3.6</t>
  </si>
  <si>
    <t xml:space="preserve">Verificación de puertos (solo localhost) y variables de entorno</t>
  </si>
  <si>
    <t xml:space="preserve">Servicios verificados en ambas notebooks</t>
  </si>
  <si>
    <t xml:space="preserve">4.1</t>
  </si>
  <si>
    <t xml:space="preserve">Desarrollo del MVP — vista de consola Corestream</t>
  </si>
  <si>
    <t xml:space="preserve">S2-S3</t>
  </si>
  <si>
    <t xml:space="preserve">Vista funcional (frontend)</t>
  </si>
  <si>
    <t xml:space="preserve">4.2</t>
  </si>
  <si>
    <t xml:space="preserve">Desarrollo del MVP — vista de despliegue de agentes</t>
  </si>
  <si>
    <t xml:space="preserve">4.3</t>
  </si>
  <si>
    <t xml:space="preserve">Implementación del modelo de datos en la base de datos real</t>
  </si>
  <si>
    <t xml:space="preserve">S9 (orig. S4)</t>
  </si>
  <si>
    <t xml:space="preserve">Migración aplicada en PostgreSQL local</t>
  </si>
  <si>
    <t xml:space="preserve">4.4</t>
  </si>
  <si>
    <t xml:space="preserve">Desarrollo de la plataforma base (gestión de empresas y usuarios)</t>
  </si>
  <si>
    <t xml:space="preserve">S9 (orig. S4-S6)</t>
  </si>
  <si>
    <t xml:space="preserve">Endpoints CRUD funcionales</t>
  </si>
  <si>
    <t xml:space="preserve">4.5</t>
  </si>
  <si>
    <t xml:space="preserve">Desarrollo del pipeline de ingesta y vectorización de documentos</t>
  </si>
  <si>
    <t xml:space="preserve">S9-S10 (orig. S4-S6)</t>
  </si>
  <si>
    <t xml:space="preserve">Pipeline de ingesta funcional</t>
  </si>
  <si>
    <t xml:space="preserve">4.6</t>
  </si>
  <si>
    <t xml:space="preserve">Implementación del motor conversacional RAG</t>
  </si>
  <si>
    <t xml:space="preserve">S9-S12 (orig. S6-S9)</t>
  </si>
  <si>
    <t xml:space="preserve">Motor RAG funcional</t>
  </si>
  <si>
    <t xml:space="preserve">4.7</t>
  </si>
  <si>
    <t xml:space="preserve">Desarrollo de la interfaz de chat web</t>
  </si>
  <si>
    <t xml:space="preserve">S6-S9</t>
  </si>
  <si>
    <t xml:space="preserve">Interfaz de chat funcional</t>
  </si>
  <si>
    <t xml:space="preserve">4.8</t>
  </si>
  <si>
    <t xml:space="preserve">Implementación de la derivación de consultas a Corestream</t>
  </si>
  <si>
    <t xml:space="preserve">S9-S12 (orig. S9-S11)</t>
  </si>
  <si>
    <t xml:space="preserve">Derivación funcional con mock (real pendiente de la API de Corestream)</t>
  </si>
  <si>
    <t xml:space="preserve">4.9</t>
  </si>
  <si>
    <t xml:space="preserve">Autenticación (login JWT) y roles: superadmin, admin de empresa, encargado de tickets y encargado del agente IA</t>
  </si>
  <si>
    <t xml:space="preserve">S9 (agregado en la replanificación)</t>
  </si>
  <si>
    <t xml:space="preserve">Login y permisos por rol funcionando</t>
  </si>
  <si>
    <t xml:space="preserve">4.10</t>
  </si>
  <si>
    <t xml:space="preserve">Widget embebible y página pública de chat</t>
  </si>
  <si>
    <t xml:space="preserve">S9-S10</t>
  </si>
  <si>
    <t xml:space="preserve">widget.min.js + /chat/{slug}</t>
  </si>
  <si>
    <t xml:space="preserve">5.1</t>
  </si>
  <si>
    <t xml:space="preserve">Pruebas unitarias por servicio de negocio</t>
  </si>
  <si>
    <t xml:space="preserve">S12-S14 (orig. S11-S14)</t>
  </si>
  <si>
    <t xml:space="preserve">Suite de pruebas en backend/tests/</t>
  </si>
  <si>
    <t xml:space="preserve">5.2</t>
  </si>
  <si>
    <t xml:space="preserve">Pruebas de integración de punta a punta</t>
  </si>
  <si>
    <t xml:space="preserve">Caso end-to-end aprobado</t>
  </si>
  <si>
    <t xml:space="preserve">6.1</t>
  </si>
  <si>
    <t xml:space="preserve">Ajustes finales y corrección de errores detectados en pruebas</t>
  </si>
  <si>
    <t xml:space="preserve">S14-S17</t>
  </si>
  <si>
    <t xml:space="preserve">Errores corregidos</t>
  </si>
  <si>
    <t xml:space="preserve">6.2</t>
  </si>
  <si>
    <t xml:space="preserve">Documentación técnica final y manual de usuario</t>
  </si>
  <si>
    <t xml:space="preserve">6.3</t>
  </si>
  <si>
    <t xml:space="preserve">Preparación y entrega final del proyecto</t>
  </si>
  <si>
    <t xml:space="preserve">Entrega Fase 3 completa</t>
  </si>
  <si>
    <t xml:space="preserve">Cronograma por Fases</t>
  </si>
  <si>
    <t xml:space="preserve">Semana inicio</t>
  </si>
  <si>
    <t xml:space="preserve">Semana fin</t>
  </si>
  <si>
    <t xml:space="preserve">Responsable principal</t>
  </si>
  <si>
    <t xml:space="preserve">—</t>
  </si>
  <si>
    <t xml:space="preserve">Ambos (previo a S1, ya completado)</t>
  </si>
  <si>
    <t xml:space="preserve">S2</t>
  </si>
  <si>
    <t xml:space="preserve">S12</t>
  </si>
  <si>
    <t xml:space="preserve">Ambos (Fabián y Vicente en paralelo, por módulo); replanificado desde S9</t>
  </si>
  <si>
    <t xml:space="preserve">S14</t>
  </si>
  <si>
    <t xml:space="preserve">S17</t>
  </si>
  <si>
    <t xml:space="preserve">Stack Tecnológico</t>
  </si>
  <si>
    <t xml:space="preserve">Capa</t>
  </si>
  <si>
    <t xml:space="preserve">Tecnología</t>
  </si>
  <si>
    <t xml:space="preserve">Para qué se usa</t>
  </si>
  <si>
    <t xml:space="preserve">Backend / API</t>
  </si>
  <si>
    <t xml:space="preserve">Python 3.11+ / FastAPI / Uvicorn</t>
  </si>
  <si>
    <t xml:space="preserve">Framework que expone la API (chat, carga de documentos, tickets).</t>
  </si>
  <si>
    <t xml:space="preserve">ORM / migraciones</t>
  </si>
  <si>
    <t xml:space="preserve">SQLAlchemy + Alembic</t>
  </si>
  <si>
    <t xml:space="preserve">Traduce el modelo de datos a clases Python y versiona los cambios de esquema.</t>
  </si>
  <si>
    <t xml:space="preserve">Base de datos</t>
  </si>
  <si>
    <t xml:space="preserve">PostgreSQL + pgvector (local, Docker)</t>
  </si>
  <si>
    <t xml:space="preserve">Guarda empresas, documentos, embeddings, conversaciones y tickets.</t>
  </si>
  <si>
    <t xml:space="preserve">Modelo de lenguaje</t>
  </si>
  <si>
    <t xml:space="preserve">DeepSeek (API)</t>
  </si>
  <si>
    <t xml:space="preserve">Genera las respuestas del chatbot.</t>
  </si>
  <si>
    <t xml:space="preserve">Embeddings</t>
  </si>
  <si>
    <t xml:space="preserve">sentence-transformers (paraphrase-multilingual-MiniLM-L12-v2)</t>
  </si>
  <si>
    <t xml:space="preserve">Convierte texto en vectores para la búsqueda semántica, sin costo por uso.</t>
  </si>
  <si>
    <t xml:space="preserve">Procesos en segundo plano</t>
  </si>
  <si>
    <t xml:space="preserve">Celery + Redis (local, Docker)</t>
  </si>
  <si>
    <t xml:space="preserve">Procesa la ingesta sin bloquear al usuario. Hoy usa BackgroundTasks de FastAPI; Celery + Redis queda pendiente.</t>
  </si>
  <si>
    <t xml:space="preserve">Frontend</t>
  </si>
  <si>
    <t xml:space="preserve">React + TypeScript (Vite)</t>
  </si>
  <si>
    <t xml:space="preserve">Interfaz de chat y panel de administración.</t>
  </si>
  <si>
    <t xml:space="preserve">Procesamiento de documentos</t>
  </si>
  <si>
    <t xml:space="preserve">pypdf, python-docx</t>
  </si>
  <si>
    <t xml:space="preserve">Extraer texto de PDF y Word subidos por las empresas.</t>
  </si>
  <si>
    <t xml:space="preserve">Integraciones externas</t>
  </si>
  <si>
    <t xml:space="preserve">httpx</t>
  </si>
  <si>
    <t xml:space="preserve">Llamadas a las APIs de DeepSeek y Corestream.</t>
  </si>
  <si>
    <t xml:space="preserve">Testing</t>
  </si>
  <si>
    <t xml:space="preserve">pytest</t>
  </si>
  <si>
    <t xml:space="preserve">Pruebas unitarias e de integración (competencia de QA).</t>
  </si>
  <si>
    <t xml:space="preserve">Calidad de código</t>
  </si>
  <si>
    <t xml:space="preserve">ruff</t>
  </si>
  <si>
    <t xml:space="preserve">Linter y formateador de Python.</t>
  </si>
  <si>
    <t xml:space="preserve">Docker Compose</t>
  </si>
  <si>
    <t xml:space="preserve">Levanta PostgreSQL + pgvector y Redis en local, igual en ambas notebooks.</t>
  </si>
  <si>
    <t xml:space="preserve">Entorno Local — Creación y Configuración</t>
  </si>
  <si>
    <t xml:space="preserve">Servicio</t>
  </si>
  <si>
    <t xml:space="preserve">Identificador propuesto</t>
  </si>
  <si>
    <t xml:space="preserve">Tareas de creación y configuración</t>
  </si>
  <si>
    <t xml:space="preserve">Variables de entorno (.env)</t>
  </si>
  <si>
    <t xml:space="preserve">.env / .env.example</t>
  </si>
  <si>
    <t xml:space="preserve">Crear .env.example con las variables necesarias (DATABASE_URL, REDIS_URL, DEEPSEEK_API_KEY, CORESTREAM_MOCK, ruta de almacenamiento); copiar a .env local; verificar que .env esté en .gitignore.</t>
  </si>
  <si>
    <t xml:space="preserve">PostgreSQL + pgvector (Docker)</t>
  </si>
  <si>
    <t xml:space="preserve">chatbot-soporte-db</t>
  </si>
  <si>
    <t xml:space="preserve">Definir el servicio en docker-compose.yml con imagen pgvector/pgvector; publicar el puerto 5432 solo en 127.0.0.1; activar la extensión pgvector; verificar la conexión desde SQLAlchemy.</t>
  </si>
  <si>
    <t xml:space="preserve">Almacenamiento de documentos</t>
  </si>
  <si>
    <t xml:space="preserve">storage/</t>
  </si>
  <si>
    <t xml:space="preserve">Crear carpeta local privada con subcarpetas por empresa; excluirla del repositorio (.gitignore); verificar lectura y escritura desde el backend.</t>
  </si>
  <si>
    <t xml:space="preserve">Redis (Docker)</t>
  </si>
  <si>
    <t xml:space="preserve">chatbot-soporte-cache</t>
  </si>
  <si>
    <t xml:space="preserve">Definir el servicio en docker-compose.yml; publicar el puerto 6379 solo en 127.0.0.1; verificar la conexión desde Celery.</t>
  </si>
  <si>
    <t xml:space="preserve">Ejecución del sistema</t>
  </si>
  <si>
    <t xml:space="preserve">Sin despliegue en la nube: el sistema se ejecuta y demuestra en local (backend con Uvicorn, frontend con Vite, servicios con Docker Compose). Documentar los pasos de arranque en el README en la Fase 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</si>
</sst>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B4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A2B4C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1A2B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4F7"/>
        <bgColor rgb="FFFFFFFF"/>
      </patternFill>
    </fill>
    <fill>
      <patternFill patternType="solid">
        <fgColor rgb="FF1A2B4C"/>
        <bgColor rgb="FF2222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B8860B"/>
      <rgbColor rgb="FF800080"/>
      <rgbColor rgb="FF008080"/>
      <rgbColor rgb="FFCCCCCC"/>
      <rgbColor rgb="FF777777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B4C"/>
      <rgbColor rgb="FF339966"/>
      <rgbColor rgb="FF003300"/>
      <rgbColor rgb="FF333300"/>
      <rgbColor rgb="FFC0392B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55"/>
    <col collapsed="false" customWidth="true" hidden="false" outlineLevel="0" max="7" min="4" style="1" width="14"/>
    <col collapsed="false" customWidth="true" hidden="false" outlineLevel="0" max="26" min="8" style="1" width="8.71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  <c r="G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  <c r="G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  <c r="G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  <c r="F9" s="5"/>
      <c r="G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  <c r="F10" s="5"/>
      <c r="G10" s="5"/>
    </row>
    <row r="12" customFormat="false" ht="15" hidden="false" customHeight="true" outlineLevel="0" collapsed="false">
      <c r="B12" s="6" t="s">
        <v>13</v>
      </c>
    </row>
    <row r="14" customFormat="false" ht="15" hidden="false" customHeight="true" outlineLevel="0" collapsed="false">
      <c r="B14" s="7" t="s">
        <v>14</v>
      </c>
      <c r="C14" s="7" t="s">
        <v>15</v>
      </c>
    </row>
    <row r="15" customFormat="false" ht="15" hidden="false" customHeight="true" outlineLevel="0" collapsed="false">
      <c r="B15" s="5" t="s">
        <v>16</v>
      </c>
      <c r="C15" s="8" t="n">
        <f aca="false">COUNTA('Requisitos Funcionales'!A5:A100)</f>
        <v>30</v>
      </c>
    </row>
    <row r="16" customFormat="false" ht="15" hidden="false" customHeight="true" outlineLevel="0" collapsed="false">
      <c r="B16" s="5" t="s">
        <v>17</v>
      </c>
      <c r="C16" s="8" t="n">
        <f aca="false">COUNTIF('Requisitos Funcionales'!D5:D100,"Alta")</f>
        <v>24</v>
      </c>
    </row>
    <row r="17" customFormat="false" ht="23.25" hidden="false" customHeight="true" outlineLevel="0" collapsed="false">
      <c r="B17" s="5" t="s">
        <v>18</v>
      </c>
      <c r="C17" s="8" t="n">
        <f aca="false">COUNTIF('Requisitos Funcionales'!D5:D100,"Media")</f>
        <v>6</v>
      </c>
    </row>
    <row r="18" customFormat="false" ht="15" hidden="false" customHeight="true" outlineLevel="0" collapsed="false">
      <c r="B18" s="5" t="s">
        <v>19</v>
      </c>
      <c r="C18" s="8" t="n">
        <f aca="false">COUNTIF('Requisitos Funcionales'!D5:D100,"Baja")</f>
        <v>0</v>
      </c>
    </row>
    <row r="19" customFormat="false" ht="15" hidden="false" customHeight="true" outlineLevel="0" collapsed="false">
      <c r="B19" s="5" t="s">
        <v>20</v>
      </c>
      <c r="C19" s="8" t="n">
        <f aca="false">COUNTIF('Requisitos Funcionales'!H5:H100,"Hecho")</f>
        <v>11</v>
      </c>
    </row>
    <row r="20" customFormat="false" ht="15" hidden="false" customHeight="true" outlineLevel="0" collapsed="false">
      <c r="B20" s="5" t="s">
        <v>21</v>
      </c>
      <c r="C20" s="8" t="n">
        <f aca="false">COUNTIF('Requisitos Funcionales'!H5:H100,"En curso")</f>
        <v>11</v>
      </c>
    </row>
    <row r="21" customFormat="false" ht="15.75" hidden="false" customHeight="true" outlineLevel="0" collapsed="false">
      <c r="B21" s="5" t="s">
        <v>22</v>
      </c>
      <c r="C21" s="8" t="n">
        <f aca="false">COUNTIF('Requisitos Funcionales'!H5:H100,"Pendiente")</f>
        <v>8</v>
      </c>
    </row>
    <row r="22" customFormat="false" ht="15.75" hidden="false" customHeight="true" outlineLevel="0" collapsed="false">
      <c r="B22" s="5" t="s">
        <v>23</v>
      </c>
      <c r="C22" s="8" t="n">
        <f aca="false">COUNTA('Requisitos No Funcionales'!A5:A100)</f>
        <v>10</v>
      </c>
    </row>
    <row r="23" customFormat="false" ht="15.75" hidden="false" customHeight="true" outlineLevel="0" collapsed="false">
      <c r="B23" s="5" t="s">
        <v>24</v>
      </c>
      <c r="C23" s="8" t="n">
        <f aca="false">COUNTA(EDT!A5:A100)</f>
        <v>26</v>
      </c>
    </row>
    <row r="24" customFormat="false" ht="15.75" hidden="false" customHeight="true" outlineLevel="0" collapsed="false"/>
    <row r="25" customFormat="false" ht="15.75" hidden="false" customHeight="true" outlineLevel="0" collapsed="false">
      <c r="B25" s="6" t="s">
        <v>25</v>
      </c>
    </row>
    <row r="26" customFormat="false" ht="15.75" hidden="false" customHeight="true" outlineLevel="0" collapsed="false"/>
    <row r="27" customFormat="false" ht="15.75" hidden="false" customHeight="true" outlineLevel="0" collapsed="false">
      <c r="B27" s="7" t="s">
        <v>26</v>
      </c>
      <c r="C27" s="7" t="s">
        <v>27</v>
      </c>
    </row>
    <row r="28" customFormat="false" ht="15.75" hidden="false" customHeight="true" outlineLevel="0" collapsed="false">
      <c r="B28" s="5" t="s">
        <v>28</v>
      </c>
      <c r="C28" s="8" t="n">
        <f aca="false">COUNTIF('Requisitos Funcionales'!E5:E100,"1. Análisis")</f>
        <v>0</v>
      </c>
    </row>
    <row r="29" customFormat="false" ht="15.75" hidden="false" customHeight="true" outlineLevel="0" collapsed="false">
      <c r="B29" s="5" t="s">
        <v>29</v>
      </c>
      <c r="C29" s="8" t="n">
        <f aca="false">COUNTIF('Requisitos Funcionales'!E5:E100,"2. Diseño")</f>
        <v>0</v>
      </c>
    </row>
    <row r="30" customFormat="false" ht="15.75" hidden="false" customHeight="true" outlineLevel="0" collapsed="false">
      <c r="B30" s="5" t="s">
        <v>30</v>
      </c>
      <c r="C30" s="8" t="n">
        <f aca="false">COUNTIF('Requisitos Funcionales'!E5:E100,"3. Configuración del Entorno Local")</f>
        <v>6</v>
      </c>
    </row>
    <row r="31" customFormat="false" ht="15.75" hidden="false" customHeight="true" outlineLevel="0" collapsed="false">
      <c r="B31" s="5" t="s">
        <v>31</v>
      </c>
      <c r="C31" s="8" t="n">
        <f aca="false">COUNTIF('Requisitos Funcionales'!E5:E100,"4. Desarrollo")</f>
        <v>20</v>
      </c>
    </row>
    <row r="32" customFormat="false" ht="15.75" hidden="false" customHeight="true" outlineLevel="0" collapsed="false">
      <c r="B32" s="5" t="s">
        <v>32</v>
      </c>
      <c r="C32" s="8" t="n">
        <f aca="false">COUNTIF('Requisitos Funcionales'!E5:E100,"5. Pruebas")</f>
        <v>3</v>
      </c>
    </row>
    <row r="33" customFormat="false" ht="15.75" hidden="false" customHeight="true" outlineLevel="0" collapsed="false">
      <c r="B33" s="5" t="s">
        <v>33</v>
      </c>
      <c r="C33" s="8" t="n">
        <f aca="false">COUNTIF('Requisitos Funcionales'!E5:E100,"6. Implementación y Cierre")</f>
        <v>1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C6:G6"/>
    <mergeCell ref="C7:G7"/>
    <mergeCell ref="C8:G8"/>
    <mergeCell ref="C9:G9"/>
    <mergeCell ref="C10:G1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55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6" min="6" style="1" width="34"/>
    <col collapsed="false" customWidth="true" hidden="false" outlineLevel="0" max="8" min="7" style="1" width="12"/>
    <col collapsed="false" customWidth="true" hidden="false" outlineLevel="0" max="26" min="9" style="1" width="8.71"/>
  </cols>
  <sheetData>
    <row r="1" customFormat="false" ht="19.5" hidden="false" customHeight="true" outlineLevel="0" collapsed="false">
      <c r="A1" s="9" t="s">
        <v>34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>
      <c r="A2" s="10"/>
      <c r="B2" s="10"/>
      <c r="C2" s="10"/>
      <c r="D2" s="10"/>
      <c r="E2" s="10"/>
      <c r="F2" s="10"/>
      <c r="G2" s="10"/>
      <c r="H2" s="10"/>
    </row>
    <row r="4" customFormat="false" ht="15" hidden="false" customHeight="tru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26</v>
      </c>
      <c r="F4" s="7" t="s">
        <v>39</v>
      </c>
      <c r="G4" s="7" t="s">
        <v>40</v>
      </c>
      <c r="H4" s="7" t="s">
        <v>41</v>
      </c>
    </row>
    <row r="5" customFormat="false" ht="48" hidden="false" customHeight="true" outlineLevel="0" collapsed="false">
      <c r="A5" s="11" t="s">
        <v>42</v>
      </c>
      <c r="B5" s="11" t="s">
        <v>43</v>
      </c>
      <c r="C5" s="5" t="s">
        <v>44</v>
      </c>
      <c r="D5" s="12" t="s">
        <v>45</v>
      </c>
      <c r="E5" s="11" t="s">
        <v>31</v>
      </c>
      <c r="F5" s="5" t="s">
        <v>46</v>
      </c>
      <c r="G5" s="11" t="s">
        <v>47</v>
      </c>
      <c r="H5" s="13" t="s">
        <v>48</v>
      </c>
    </row>
    <row r="6" customFormat="false" ht="48" hidden="false" customHeight="true" outlineLevel="0" collapsed="false">
      <c r="A6" s="11" t="s">
        <v>49</v>
      </c>
      <c r="B6" s="11" t="s">
        <v>43</v>
      </c>
      <c r="C6" s="5" t="s">
        <v>50</v>
      </c>
      <c r="D6" s="12" t="s">
        <v>45</v>
      </c>
      <c r="E6" s="11" t="s">
        <v>31</v>
      </c>
      <c r="F6" s="5" t="s">
        <v>51</v>
      </c>
      <c r="G6" s="11" t="s">
        <v>47</v>
      </c>
      <c r="H6" s="13" t="s">
        <v>48</v>
      </c>
    </row>
    <row r="7" customFormat="false" ht="48" hidden="false" customHeight="true" outlineLevel="0" collapsed="false">
      <c r="A7" s="11" t="s">
        <v>52</v>
      </c>
      <c r="B7" s="11" t="s">
        <v>53</v>
      </c>
      <c r="C7" s="5" t="s">
        <v>54</v>
      </c>
      <c r="D7" s="12" t="s">
        <v>45</v>
      </c>
      <c r="E7" s="11" t="s">
        <v>31</v>
      </c>
      <c r="F7" s="5" t="s">
        <v>55</v>
      </c>
      <c r="G7" s="11" t="s">
        <v>56</v>
      </c>
      <c r="H7" s="13" t="s">
        <v>48</v>
      </c>
    </row>
    <row r="8" customFormat="false" ht="48" hidden="false" customHeight="true" outlineLevel="0" collapsed="false">
      <c r="A8" s="11" t="s">
        <v>57</v>
      </c>
      <c r="B8" s="11" t="s">
        <v>58</v>
      </c>
      <c r="C8" s="5" t="s">
        <v>59</v>
      </c>
      <c r="D8" s="12" t="s">
        <v>45</v>
      </c>
      <c r="E8" s="11" t="s">
        <v>31</v>
      </c>
      <c r="F8" s="5" t="s">
        <v>60</v>
      </c>
      <c r="G8" s="11" t="s">
        <v>47</v>
      </c>
      <c r="H8" s="14" t="s">
        <v>61</v>
      </c>
    </row>
    <row r="9" customFormat="false" ht="48" hidden="false" customHeight="true" outlineLevel="0" collapsed="false">
      <c r="A9" s="11" t="s">
        <v>62</v>
      </c>
      <c r="B9" s="11" t="s">
        <v>58</v>
      </c>
      <c r="C9" s="5" t="s">
        <v>63</v>
      </c>
      <c r="D9" s="12" t="s">
        <v>45</v>
      </c>
      <c r="E9" s="11" t="s">
        <v>31</v>
      </c>
      <c r="F9" s="5" t="s">
        <v>64</v>
      </c>
      <c r="G9" s="11" t="s">
        <v>47</v>
      </c>
      <c r="H9" s="14" t="s">
        <v>61</v>
      </c>
    </row>
    <row r="10" customFormat="false" ht="48" hidden="false" customHeight="true" outlineLevel="0" collapsed="false">
      <c r="A10" s="11" t="s">
        <v>65</v>
      </c>
      <c r="B10" s="11" t="s">
        <v>58</v>
      </c>
      <c r="C10" s="5" t="s">
        <v>66</v>
      </c>
      <c r="D10" s="14" t="s">
        <v>67</v>
      </c>
      <c r="E10" s="11" t="s">
        <v>31</v>
      </c>
      <c r="F10" s="5" t="s">
        <v>68</v>
      </c>
      <c r="G10" s="11" t="s">
        <v>47</v>
      </c>
      <c r="H10" s="14" t="s">
        <v>61</v>
      </c>
    </row>
    <row r="11" customFormat="false" ht="48" hidden="false" customHeight="true" outlineLevel="0" collapsed="false">
      <c r="A11" s="11" t="s">
        <v>69</v>
      </c>
      <c r="B11" s="11" t="s">
        <v>70</v>
      </c>
      <c r="C11" s="5" t="s">
        <v>71</v>
      </c>
      <c r="D11" s="12" t="s">
        <v>45</v>
      </c>
      <c r="E11" s="11" t="s">
        <v>31</v>
      </c>
      <c r="F11" s="5" t="s">
        <v>72</v>
      </c>
      <c r="G11" s="11" t="s">
        <v>47</v>
      </c>
      <c r="H11" s="14" t="s">
        <v>61</v>
      </c>
    </row>
    <row r="12" customFormat="false" ht="48" hidden="false" customHeight="true" outlineLevel="0" collapsed="false">
      <c r="A12" s="11" t="s">
        <v>73</v>
      </c>
      <c r="B12" s="11" t="s">
        <v>70</v>
      </c>
      <c r="C12" s="5" t="s">
        <v>74</v>
      </c>
      <c r="D12" s="12" t="s">
        <v>45</v>
      </c>
      <c r="E12" s="11" t="s">
        <v>31</v>
      </c>
      <c r="F12" s="5" t="s">
        <v>75</v>
      </c>
      <c r="G12" s="11" t="s">
        <v>47</v>
      </c>
      <c r="H12" s="14" t="s">
        <v>61</v>
      </c>
    </row>
    <row r="13" customFormat="false" ht="48" hidden="false" customHeight="true" outlineLevel="0" collapsed="false">
      <c r="A13" s="11" t="s">
        <v>76</v>
      </c>
      <c r="B13" s="11" t="s">
        <v>70</v>
      </c>
      <c r="C13" s="5" t="s">
        <v>77</v>
      </c>
      <c r="D13" s="12" t="s">
        <v>45</v>
      </c>
      <c r="E13" s="11" t="s">
        <v>31</v>
      </c>
      <c r="F13" s="5" t="s">
        <v>78</v>
      </c>
      <c r="G13" s="11" t="s">
        <v>47</v>
      </c>
      <c r="H13" s="15" t="s">
        <v>79</v>
      </c>
    </row>
    <row r="14" customFormat="false" ht="48" hidden="false" customHeight="true" outlineLevel="0" collapsed="false">
      <c r="A14" s="11" t="s">
        <v>80</v>
      </c>
      <c r="B14" s="11" t="s">
        <v>81</v>
      </c>
      <c r="C14" s="5" t="s">
        <v>82</v>
      </c>
      <c r="D14" s="12" t="s">
        <v>45</v>
      </c>
      <c r="E14" s="11" t="s">
        <v>31</v>
      </c>
      <c r="F14" s="5" t="s">
        <v>83</v>
      </c>
      <c r="G14" s="11" t="s">
        <v>56</v>
      </c>
      <c r="H14" s="13" t="s">
        <v>48</v>
      </c>
    </row>
    <row r="15" customFormat="false" ht="48" hidden="false" customHeight="true" outlineLevel="0" collapsed="false">
      <c r="A15" s="11" t="s">
        <v>84</v>
      </c>
      <c r="B15" s="11" t="s">
        <v>81</v>
      </c>
      <c r="C15" s="5" t="s">
        <v>85</v>
      </c>
      <c r="D15" s="14" t="s">
        <v>67</v>
      </c>
      <c r="E15" s="11" t="s">
        <v>31</v>
      </c>
      <c r="F15" s="5" t="s">
        <v>86</v>
      </c>
      <c r="G15" s="11" t="s">
        <v>56</v>
      </c>
      <c r="H15" s="13" t="s">
        <v>48</v>
      </c>
    </row>
    <row r="16" customFormat="false" ht="48" hidden="false" customHeight="true" outlineLevel="0" collapsed="false">
      <c r="A16" s="11" t="s">
        <v>87</v>
      </c>
      <c r="B16" s="11" t="s">
        <v>88</v>
      </c>
      <c r="C16" s="5" t="s">
        <v>89</v>
      </c>
      <c r="D16" s="12" t="s">
        <v>45</v>
      </c>
      <c r="E16" s="11" t="s">
        <v>31</v>
      </c>
      <c r="F16" s="5" t="s">
        <v>90</v>
      </c>
      <c r="G16" s="11" t="s">
        <v>56</v>
      </c>
      <c r="H16" s="13" t="s">
        <v>48</v>
      </c>
    </row>
    <row r="17" customFormat="false" ht="48" hidden="false" customHeight="true" outlineLevel="0" collapsed="false">
      <c r="A17" s="11" t="s">
        <v>91</v>
      </c>
      <c r="B17" s="11" t="s">
        <v>88</v>
      </c>
      <c r="C17" s="5" t="s">
        <v>92</v>
      </c>
      <c r="D17" s="12" t="s">
        <v>45</v>
      </c>
      <c r="E17" s="11" t="s">
        <v>31</v>
      </c>
      <c r="F17" s="5" t="s">
        <v>93</v>
      </c>
      <c r="G17" s="11" t="s">
        <v>56</v>
      </c>
      <c r="H17" s="13" t="s">
        <v>48</v>
      </c>
    </row>
    <row r="18" customFormat="false" ht="48" hidden="false" customHeight="true" outlineLevel="0" collapsed="false">
      <c r="A18" s="11" t="s">
        <v>94</v>
      </c>
      <c r="B18" s="11" t="s">
        <v>95</v>
      </c>
      <c r="C18" s="5" t="s">
        <v>96</v>
      </c>
      <c r="D18" s="12" t="s">
        <v>45</v>
      </c>
      <c r="E18" s="11" t="s">
        <v>31</v>
      </c>
      <c r="F18" s="5" t="s">
        <v>97</v>
      </c>
      <c r="G18" s="11" t="s">
        <v>56</v>
      </c>
      <c r="H18" s="13" t="s">
        <v>48</v>
      </c>
    </row>
    <row r="19" customFormat="false" ht="48" hidden="false" customHeight="true" outlineLevel="0" collapsed="false">
      <c r="A19" s="11" t="s">
        <v>98</v>
      </c>
      <c r="B19" s="11" t="s">
        <v>95</v>
      </c>
      <c r="C19" s="5" t="s">
        <v>99</v>
      </c>
      <c r="D19" s="14" t="s">
        <v>67</v>
      </c>
      <c r="E19" s="11" t="s">
        <v>31</v>
      </c>
      <c r="F19" s="5" t="s">
        <v>100</v>
      </c>
      <c r="G19" s="11" t="s">
        <v>56</v>
      </c>
      <c r="H19" s="14" t="s">
        <v>61</v>
      </c>
    </row>
    <row r="20" customFormat="false" ht="48" hidden="false" customHeight="true" outlineLevel="0" collapsed="false">
      <c r="A20" s="11" t="s">
        <v>101</v>
      </c>
      <c r="B20" s="11" t="s">
        <v>102</v>
      </c>
      <c r="C20" s="5" t="s">
        <v>103</v>
      </c>
      <c r="D20" s="12" t="s">
        <v>45</v>
      </c>
      <c r="E20" s="11" t="s">
        <v>31</v>
      </c>
      <c r="F20" s="5" t="s">
        <v>104</v>
      </c>
      <c r="G20" s="11" t="s">
        <v>56</v>
      </c>
      <c r="H20" s="13" t="s">
        <v>48</v>
      </c>
    </row>
    <row r="21" customFormat="false" ht="48" hidden="false" customHeight="true" outlineLevel="0" collapsed="false">
      <c r="A21" s="11" t="s">
        <v>105</v>
      </c>
      <c r="B21" s="11" t="s">
        <v>102</v>
      </c>
      <c r="C21" s="5" t="s">
        <v>106</v>
      </c>
      <c r="D21" s="14" t="s">
        <v>67</v>
      </c>
      <c r="E21" s="11" t="s">
        <v>31</v>
      </c>
      <c r="F21" s="5" t="s">
        <v>107</v>
      </c>
      <c r="G21" s="11" t="s">
        <v>56</v>
      </c>
      <c r="H21" s="14" t="s">
        <v>61</v>
      </c>
    </row>
    <row r="22" customFormat="false" ht="48" hidden="false" customHeight="true" outlineLevel="0" collapsed="false">
      <c r="A22" s="11" t="s">
        <v>108</v>
      </c>
      <c r="B22" s="11" t="s">
        <v>109</v>
      </c>
      <c r="C22" s="5" t="s">
        <v>110</v>
      </c>
      <c r="D22" s="12" t="s">
        <v>45</v>
      </c>
      <c r="E22" s="11" t="s">
        <v>30</v>
      </c>
      <c r="F22" s="5" t="s">
        <v>111</v>
      </c>
      <c r="G22" s="11" t="s">
        <v>112</v>
      </c>
      <c r="H22" s="15" t="s">
        <v>79</v>
      </c>
    </row>
    <row r="23" customFormat="false" ht="48" hidden="false" customHeight="true" outlineLevel="0" collapsed="false">
      <c r="A23" s="11" t="s">
        <v>113</v>
      </c>
      <c r="B23" s="11" t="s">
        <v>109</v>
      </c>
      <c r="C23" s="5" t="s">
        <v>114</v>
      </c>
      <c r="D23" s="12" t="s">
        <v>45</v>
      </c>
      <c r="E23" s="11" t="s">
        <v>30</v>
      </c>
      <c r="F23" s="5" t="s">
        <v>115</v>
      </c>
      <c r="G23" s="11" t="s">
        <v>112</v>
      </c>
      <c r="H23" s="15" t="s">
        <v>79</v>
      </c>
    </row>
    <row r="24" customFormat="false" ht="48" hidden="false" customHeight="true" outlineLevel="0" collapsed="false">
      <c r="A24" s="11" t="s">
        <v>116</v>
      </c>
      <c r="B24" s="11" t="s">
        <v>109</v>
      </c>
      <c r="C24" s="5" t="s">
        <v>117</v>
      </c>
      <c r="D24" s="12" t="s">
        <v>45</v>
      </c>
      <c r="E24" s="11" t="s">
        <v>30</v>
      </c>
      <c r="F24" s="5" t="s">
        <v>118</v>
      </c>
      <c r="G24" s="11" t="s">
        <v>112</v>
      </c>
      <c r="H24" s="15" t="s">
        <v>79</v>
      </c>
    </row>
    <row r="25" customFormat="false" ht="48" hidden="false" customHeight="true" outlineLevel="0" collapsed="false">
      <c r="A25" s="11" t="s">
        <v>119</v>
      </c>
      <c r="B25" s="11" t="s">
        <v>109</v>
      </c>
      <c r="C25" s="5" t="s">
        <v>120</v>
      </c>
      <c r="D25" s="12" t="s">
        <v>45</v>
      </c>
      <c r="E25" s="11" t="s">
        <v>30</v>
      </c>
      <c r="F25" s="5" t="s">
        <v>121</v>
      </c>
      <c r="G25" s="11" t="s">
        <v>112</v>
      </c>
      <c r="H25" s="15" t="s">
        <v>79</v>
      </c>
    </row>
    <row r="26" customFormat="false" ht="48" hidden="false" customHeight="true" outlineLevel="0" collapsed="false">
      <c r="A26" s="11" t="s">
        <v>122</v>
      </c>
      <c r="B26" s="11" t="s">
        <v>109</v>
      </c>
      <c r="C26" s="5" t="s">
        <v>123</v>
      </c>
      <c r="D26" s="14" t="s">
        <v>67</v>
      </c>
      <c r="E26" s="11" t="s">
        <v>30</v>
      </c>
      <c r="F26" s="5" t="s">
        <v>124</v>
      </c>
      <c r="G26" s="11" t="s">
        <v>112</v>
      </c>
      <c r="H26" s="15" t="s">
        <v>79</v>
      </c>
    </row>
    <row r="27" customFormat="false" ht="48" hidden="false" customHeight="true" outlineLevel="0" collapsed="false">
      <c r="A27" s="11" t="s">
        <v>125</v>
      </c>
      <c r="B27" s="11" t="s">
        <v>109</v>
      </c>
      <c r="C27" s="5" t="s">
        <v>126</v>
      </c>
      <c r="D27" s="12" t="s">
        <v>45</v>
      </c>
      <c r="E27" s="11" t="s">
        <v>30</v>
      </c>
      <c r="F27" s="5" t="s">
        <v>127</v>
      </c>
      <c r="G27" s="11" t="s">
        <v>112</v>
      </c>
      <c r="H27" s="15" t="s">
        <v>79</v>
      </c>
    </row>
    <row r="28" customFormat="false" ht="48" hidden="false" customHeight="true" outlineLevel="0" collapsed="false">
      <c r="A28" s="11" t="s">
        <v>128</v>
      </c>
      <c r="B28" s="11" t="s">
        <v>129</v>
      </c>
      <c r="C28" s="5" t="s">
        <v>130</v>
      </c>
      <c r="D28" s="12" t="s">
        <v>45</v>
      </c>
      <c r="E28" s="11" t="s">
        <v>32</v>
      </c>
      <c r="F28" s="5" t="s">
        <v>131</v>
      </c>
      <c r="G28" s="11" t="s">
        <v>112</v>
      </c>
      <c r="H28" s="14" t="s">
        <v>61</v>
      </c>
    </row>
    <row r="29" customFormat="false" ht="48" hidden="false" customHeight="true" outlineLevel="0" collapsed="false">
      <c r="A29" s="11" t="s">
        <v>132</v>
      </c>
      <c r="B29" s="11" t="s">
        <v>129</v>
      </c>
      <c r="C29" s="5" t="s">
        <v>133</v>
      </c>
      <c r="D29" s="12" t="s">
        <v>45</v>
      </c>
      <c r="E29" s="11" t="s">
        <v>32</v>
      </c>
      <c r="F29" s="5" t="s">
        <v>134</v>
      </c>
      <c r="G29" s="11" t="s">
        <v>47</v>
      </c>
      <c r="H29" s="14" t="s">
        <v>61</v>
      </c>
    </row>
    <row r="30" customFormat="false" ht="48" hidden="false" customHeight="true" outlineLevel="0" collapsed="false">
      <c r="A30" s="11" t="s">
        <v>135</v>
      </c>
      <c r="B30" s="11" t="s">
        <v>129</v>
      </c>
      <c r="C30" s="5" t="s">
        <v>136</v>
      </c>
      <c r="D30" s="12" t="s">
        <v>45</v>
      </c>
      <c r="E30" s="11" t="s">
        <v>32</v>
      </c>
      <c r="F30" s="5" t="s">
        <v>137</v>
      </c>
      <c r="G30" s="11" t="s">
        <v>112</v>
      </c>
      <c r="H30" s="14" t="s">
        <v>61</v>
      </c>
    </row>
    <row r="31" customFormat="false" ht="48" hidden="false" customHeight="true" outlineLevel="0" collapsed="false">
      <c r="A31" s="11" t="s">
        <v>138</v>
      </c>
      <c r="B31" s="11" t="s">
        <v>139</v>
      </c>
      <c r="C31" s="5" t="s">
        <v>140</v>
      </c>
      <c r="D31" s="12" t="s">
        <v>45</v>
      </c>
      <c r="E31" s="11" t="s">
        <v>33</v>
      </c>
      <c r="F31" s="5" t="s">
        <v>141</v>
      </c>
      <c r="G31" s="11" t="s">
        <v>112</v>
      </c>
      <c r="H31" s="14" t="s">
        <v>61</v>
      </c>
    </row>
    <row r="32" customFormat="false" ht="48" hidden="false" customHeight="true" outlineLevel="0" collapsed="false">
      <c r="A32" s="11" t="s">
        <v>142</v>
      </c>
      <c r="B32" s="11" t="s">
        <v>53</v>
      </c>
      <c r="C32" s="5" t="s">
        <v>143</v>
      </c>
      <c r="D32" s="12" t="s">
        <v>45</v>
      </c>
      <c r="E32" s="11" t="s">
        <v>31</v>
      </c>
      <c r="F32" s="5" t="s">
        <v>144</v>
      </c>
      <c r="G32" s="11" t="s">
        <v>56</v>
      </c>
      <c r="H32" s="13" t="s">
        <v>48</v>
      </c>
    </row>
    <row r="33" customFormat="false" ht="48" hidden="false" customHeight="true" outlineLevel="0" collapsed="false">
      <c r="A33" s="11" t="s">
        <v>145</v>
      </c>
      <c r="B33" s="11" t="s">
        <v>81</v>
      </c>
      <c r="C33" s="5" t="s">
        <v>146</v>
      </c>
      <c r="D33" s="12" t="s">
        <v>67</v>
      </c>
      <c r="E33" s="11" t="s">
        <v>31</v>
      </c>
      <c r="F33" s="5" t="s">
        <v>147</v>
      </c>
      <c r="G33" s="11" t="s">
        <v>56</v>
      </c>
      <c r="H33" s="15" t="s">
        <v>79</v>
      </c>
    </row>
    <row r="34" customFormat="false" ht="48" hidden="false" customHeight="true" outlineLevel="0" collapsed="false">
      <c r="A34" s="11" t="s">
        <v>148</v>
      </c>
      <c r="B34" s="11" t="s">
        <v>53</v>
      </c>
      <c r="C34" s="5" t="s">
        <v>149</v>
      </c>
      <c r="D34" s="12" t="s">
        <v>45</v>
      </c>
      <c r="E34" s="11" t="s">
        <v>31</v>
      </c>
      <c r="F34" s="5" t="s">
        <v>150</v>
      </c>
      <c r="G34" s="11" t="s">
        <v>56</v>
      </c>
      <c r="H34" s="13" t="s">
        <v>48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60"/>
    <col collapsed="false" customWidth="true" hidden="false" outlineLevel="0" max="4" min="4" style="1" width="12"/>
    <col collapsed="false" customWidth="true" hidden="false" outlineLevel="0" max="5" min="5" style="1" width="40"/>
    <col collapsed="false" customWidth="true" hidden="false" outlineLevel="0" max="26" min="6" style="1" width="8.71"/>
  </cols>
  <sheetData>
    <row r="1" customFormat="false" ht="19.5" hidden="false" customHeight="true" outlineLevel="0" collapsed="false">
      <c r="A1" s="9" t="s">
        <v>151</v>
      </c>
      <c r="B1" s="9"/>
      <c r="C1" s="9"/>
      <c r="D1" s="9"/>
      <c r="E1" s="9"/>
    </row>
    <row r="4" customFormat="false" ht="15" hidden="false" customHeight="true" outlineLevel="0" collapsed="false">
      <c r="A4" s="7" t="s">
        <v>35</v>
      </c>
      <c r="B4" s="7" t="s">
        <v>152</v>
      </c>
      <c r="C4" s="7" t="s">
        <v>37</v>
      </c>
      <c r="D4" s="7" t="s">
        <v>38</v>
      </c>
      <c r="E4" s="7" t="s">
        <v>153</v>
      </c>
    </row>
    <row r="5" customFormat="false" ht="39.75" hidden="false" customHeight="true" outlineLevel="0" collapsed="false">
      <c r="A5" s="11" t="s">
        <v>154</v>
      </c>
      <c r="B5" s="11" t="s">
        <v>155</v>
      </c>
      <c r="C5" s="5" t="s">
        <v>156</v>
      </c>
      <c r="D5" s="12" t="s">
        <v>45</v>
      </c>
      <c r="E5" s="5" t="s">
        <v>157</v>
      </c>
    </row>
    <row r="6" customFormat="false" ht="39.75" hidden="false" customHeight="true" outlineLevel="0" collapsed="false">
      <c r="A6" s="11" t="s">
        <v>158</v>
      </c>
      <c r="B6" s="11" t="s">
        <v>155</v>
      </c>
      <c r="C6" s="5" t="s">
        <v>159</v>
      </c>
      <c r="D6" s="12" t="s">
        <v>45</v>
      </c>
      <c r="E6" s="5" t="s">
        <v>160</v>
      </c>
    </row>
    <row r="7" customFormat="false" ht="39.75" hidden="false" customHeight="true" outlineLevel="0" collapsed="false">
      <c r="A7" s="11" t="s">
        <v>161</v>
      </c>
      <c r="B7" s="11" t="s">
        <v>155</v>
      </c>
      <c r="C7" s="5" t="s">
        <v>162</v>
      </c>
      <c r="D7" s="12" t="s">
        <v>45</v>
      </c>
      <c r="E7" s="5" t="s">
        <v>163</v>
      </c>
    </row>
    <row r="8" customFormat="false" ht="39.75" hidden="false" customHeight="true" outlineLevel="0" collapsed="false">
      <c r="A8" s="11" t="s">
        <v>164</v>
      </c>
      <c r="B8" s="11" t="s">
        <v>155</v>
      </c>
      <c r="C8" s="5" t="s">
        <v>165</v>
      </c>
      <c r="D8" s="12" t="s">
        <v>45</v>
      </c>
      <c r="E8" s="5" t="s">
        <v>166</v>
      </c>
    </row>
    <row r="9" customFormat="false" ht="39.75" hidden="false" customHeight="true" outlineLevel="0" collapsed="false">
      <c r="A9" s="11" t="s">
        <v>167</v>
      </c>
      <c r="B9" s="11" t="s">
        <v>168</v>
      </c>
      <c r="C9" s="5" t="s">
        <v>169</v>
      </c>
      <c r="D9" s="12" t="s">
        <v>45</v>
      </c>
      <c r="E9" s="5" t="s">
        <v>170</v>
      </c>
    </row>
    <row r="10" customFormat="false" ht="39.75" hidden="false" customHeight="true" outlineLevel="0" collapsed="false">
      <c r="A10" s="11" t="s">
        <v>171</v>
      </c>
      <c r="B10" s="11" t="s">
        <v>172</v>
      </c>
      <c r="C10" s="5" t="s">
        <v>173</v>
      </c>
      <c r="D10" s="14" t="s">
        <v>67</v>
      </c>
      <c r="E10" s="5" t="s">
        <v>174</v>
      </c>
    </row>
    <row r="11" customFormat="false" ht="39.75" hidden="false" customHeight="true" outlineLevel="0" collapsed="false">
      <c r="A11" s="11" t="s">
        <v>175</v>
      </c>
      <c r="B11" s="11" t="s">
        <v>176</v>
      </c>
      <c r="C11" s="5" t="s">
        <v>177</v>
      </c>
      <c r="D11" s="14" t="s">
        <v>67</v>
      </c>
      <c r="E11" s="5" t="s">
        <v>178</v>
      </c>
    </row>
    <row r="12" customFormat="false" ht="39.75" hidden="false" customHeight="true" outlineLevel="0" collapsed="false">
      <c r="A12" s="11" t="s">
        <v>179</v>
      </c>
      <c r="B12" s="11" t="s">
        <v>180</v>
      </c>
      <c r="C12" s="5" t="s">
        <v>181</v>
      </c>
      <c r="D12" s="12" t="s">
        <v>45</v>
      </c>
      <c r="E12" s="5" t="s">
        <v>182</v>
      </c>
    </row>
    <row r="13" customFormat="false" ht="39.75" hidden="false" customHeight="true" outlineLevel="0" collapsed="false">
      <c r="A13" s="11" t="s">
        <v>183</v>
      </c>
      <c r="B13" s="11" t="s">
        <v>180</v>
      </c>
      <c r="C13" s="5" t="s">
        <v>184</v>
      </c>
      <c r="D13" s="14" t="s">
        <v>67</v>
      </c>
      <c r="E13" s="5" t="s">
        <v>185</v>
      </c>
    </row>
    <row r="14" customFormat="false" ht="39.75" hidden="false" customHeight="true" outlineLevel="0" collapsed="false">
      <c r="A14" s="11" t="s">
        <v>186</v>
      </c>
      <c r="B14" s="11" t="s">
        <v>187</v>
      </c>
      <c r="C14" s="5" t="s">
        <v>188</v>
      </c>
      <c r="D14" s="12" t="s">
        <v>45</v>
      </c>
      <c r="E14" s="5" t="s">
        <v>189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48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7" min="6" style="1" width="12"/>
    <col collapsed="false" customWidth="true" hidden="false" outlineLevel="0" max="26" min="8" style="1" width="8.71"/>
  </cols>
  <sheetData>
    <row r="1" customFormat="false" ht="19.5" hidden="false" customHeight="true" outlineLevel="0" collapsed="false">
      <c r="A1" s="9" t="s">
        <v>190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10"/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7" t="s">
        <v>191</v>
      </c>
      <c r="B4" s="7" t="s">
        <v>26</v>
      </c>
      <c r="C4" s="7" t="s">
        <v>192</v>
      </c>
      <c r="D4" s="7" t="s">
        <v>193</v>
      </c>
      <c r="E4" s="7" t="s">
        <v>194</v>
      </c>
      <c r="F4" s="7" t="s">
        <v>40</v>
      </c>
      <c r="G4" s="7" t="s">
        <v>41</v>
      </c>
    </row>
    <row r="5" customFormat="false" ht="33.75" hidden="false" customHeight="true" outlineLevel="0" collapsed="false">
      <c r="A5" s="11" t="s">
        <v>195</v>
      </c>
      <c r="B5" s="11" t="s">
        <v>28</v>
      </c>
      <c r="C5" s="5" t="s">
        <v>196</v>
      </c>
      <c r="D5" s="11" t="s">
        <v>197</v>
      </c>
      <c r="E5" s="11"/>
      <c r="F5" s="11" t="s">
        <v>112</v>
      </c>
      <c r="G5" s="13" t="s">
        <v>48</v>
      </c>
    </row>
    <row r="6" customFormat="false" ht="33.75" hidden="false" customHeight="true" outlineLevel="0" collapsed="false">
      <c r="A6" s="11" t="s">
        <v>198</v>
      </c>
      <c r="B6" s="11" t="s">
        <v>28</v>
      </c>
      <c r="C6" s="5" t="s">
        <v>199</v>
      </c>
      <c r="D6" s="11" t="s">
        <v>197</v>
      </c>
      <c r="E6" s="11"/>
      <c r="F6" s="11" t="s">
        <v>112</v>
      </c>
      <c r="G6" s="13" t="s">
        <v>48</v>
      </c>
    </row>
    <row r="7" customFormat="false" ht="33.75" hidden="false" customHeight="true" outlineLevel="0" collapsed="false">
      <c r="A7" s="11" t="s">
        <v>200</v>
      </c>
      <c r="B7" s="11" t="s">
        <v>29</v>
      </c>
      <c r="C7" s="5" t="s">
        <v>201</v>
      </c>
      <c r="D7" s="11" t="s">
        <v>197</v>
      </c>
      <c r="E7" s="11"/>
      <c r="F7" s="11" t="s">
        <v>112</v>
      </c>
      <c r="G7" s="13" t="s">
        <v>48</v>
      </c>
    </row>
    <row r="8" customFormat="false" ht="33.75" hidden="false" customHeight="true" outlineLevel="0" collapsed="false">
      <c r="A8" s="11" t="s">
        <v>202</v>
      </c>
      <c r="B8" s="11" t="s">
        <v>29</v>
      </c>
      <c r="C8" s="5" t="s">
        <v>203</v>
      </c>
      <c r="D8" s="11" t="s">
        <v>197</v>
      </c>
      <c r="E8" s="11"/>
      <c r="F8" s="11" t="s">
        <v>47</v>
      </c>
      <c r="G8" s="13" t="s">
        <v>48</v>
      </c>
    </row>
    <row r="9" customFormat="false" ht="33.75" hidden="false" customHeight="true" outlineLevel="0" collapsed="false">
      <c r="A9" s="11" t="s">
        <v>204</v>
      </c>
      <c r="B9" s="11" t="s">
        <v>29</v>
      </c>
      <c r="C9" s="5" t="s">
        <v>205</v>
      </c>
      <c r="D9" s="11" t="s">
        <v>197</v>
      </c>
      <c r="E9" s="11" t="s">
        <v>206</v>
      </c>
      <c r="F9" s="11" t="s">
        <v>56</v>
      </c>
      <c r="G9" s="13" t="s">
        <v>48</v>
      </c>
    </row>
    <row r="10" customFormat="false" ht="33.75" hidden="false" customHeight="true" outlineLevel="0" collapsed="false">
      <c r="A10" s="11" t="s">
        <v>207</v>
      </c>
      <c r="B10" s="11" t="s">
        <v>30</v>
      </c>
      <c r="C10" s="5" t="s">
        <v>208</v>
      </c>
      <c r="D10" s="11" t="s">
        <v>209</v>
      </c>
      <c r="E10" s="11" t="s">
        <v>210</v>
      </c>
      <c r="F10" s="11" t="s">
        <v>112</v>
      </c>
      <c r="G10" s="15" t="s">
        <v>79</v>
      </c>
    </row>
    <row r="11" customFormat="false" ht="33.75" hidden="false" customHeight="true" outlineLevel="0" collapsed="false">
      <c r="A11" s="11" t="s">
        <v>211</v>
      </c>
      <c r="B11" s="11" t="s">
        <v>30</v>
      </c>
      <c r="C11" s="5" t="s">
        <v>212</v>
      </c>
      <c r="D11" s="11" t="s">
        <v>209</v>
      </c>
      <c r="E11" s="11" t="s">
        <v>213</v>
      </c>
      <c r="F11" s="11" t="s">
        <v>112</v>
      </c>
      <c r="G11" s="15" t="s">
        <v>79</v>
      </c>
    </row>
    <row r="12" customFormat="false" ht="33.75" hidden="false" customHeight="true" outlineLevel="0" collapsed="false">
      <c r="A12" s="11" t="s">
        <v>214</v>
      </c>
      <c r="B12" s="11" t="s">
        <v>30</v>
      </c>
      <c r="C12" s="5" t="s">
        <v>215</v>
      </c>
      <c r="D12" s="11" t="s">
        <v>209</v>
      </c>
      <c r="E12" s="11" t="s">
        <v>216</v>
      </c>
      <c r="F12" s="11" t="s">
        <v>112</v>
      </c>
      <c r="G12" s="15" t="s">
        <v>79</v>
      </c>
    </row>
    <row r="13" customFormat="false" ht="33.75" hidden="false" customHeight="true" outlineLevel="0" collapsed="false">
      <c r="A13" s="11" t="s">
        <v>217</v>
      </c>
      <c r="B13" s="11" t="s">
        <v>30</v>
      </c>
      <c r="C13" s="5" t="s">
        <v>218</v>
      </c>
      <c r="D13" s="11" t="s">
        <v>209</v>
      </c>
      <c r="E13" s="11" t="s">
        <v>219</v>
      </c>
      <c r="F13" s="11" t="s">
        <v>112</v>
      </c>
      <c r="G13" s="15" t="s">
        <v>79</v>
      </c>
    </row>
    <row r="14" customFormat="false" ht="33.75" hidden="false" customHeight="true" outlineLevel="0" collapsed="false">
      <c r="A14" s="11" t="s">
        <v>220</v>
      </c>
      <c r="B14" s="11" t="s">
        <v>30</v>
      </c>
      <c r="C14" s="5" t="s">
        <v>221</v>
      </c>
      <c r="D14" s="11" t="s">
        <v>209</v>
      </c>
      <c r="E14" s="11" t="s">
        <v>222</v>
      </c>
      <c r="F14" s="11" t="s">
        <v>112</v>
      </c>
      <c r="G14" s="15" t="s">
        <v>79</v>
      </c>
    </row>
    <row r="15" customFormat="false" ht="33.75" hidden="false" customHeight="true" outlineLevel="0" collapsed="false">
      <c r="A15" s="11" t="s">
        <v>223</v>
      </c>
      <c r="B15" s="11" t="s">
        <v>30</v>
      </c>
      <c r="C15" s="5" t="s">
        <v>224</v>
      </c>
      <c r="D15" s="11" t="s">
        <v>209</v>
      </c>
      <c r="E15" s="11" t="s">
        <v>225</v>
      </c>
      <c r="F15" s="11" t="s">
        <v>112</v>
      </c>
      <c r="G15" s="15" t="s">
        <v>79</v>
      </c>
    </row>
    <row r="16" customFormat="false" ht="33.75" hidden="false" customHeight="true" outlineLevel="0" collapsed="false">
      <c r="A16" s="11" t="s">
        <v>226</v>
      </c>
      <c r="B16" s="11" t="s">
        <v>31</v>
      </c>
      <c r="C16" s="5" t="s">
        <v>227</v>
      </c>
      <c r="D16" s="11" t="s">
        <v>228</v>
      </c>
      <c r="E16" s="11" t="s">
        <v>229</v>
      </c>
      <c r="F16" s="11" t="s">
        <v>56</v>
      </c>
      <c r="G16" s="13" t="s">
        <v>48</v>
      </c>
    </row>
    <row r="17" customFormat="false" ht="33.75" hidden="false" customHeight="true" outlineLevel="0" collapsed="false">
      <c r="A17" s="11" t="s">
        <v>230</v>
      </c>
      <c r="B17" s="11" t="s">
        <v>31</v>
      </c>
      <c r="C17" s="5" t="s">
        <v>231</v>
      </c>
      <c r="D17" s="11" t="s">
        <v>228</v>
      </c>
      <c r="E17" s="11" t="s">
        <v>229</v>
      </c>
      <c r="F17" s="11" t="s">
        <v>56</v>
      </c>
      <c r="G17" s="13" t="s">
        <v>48</v>
      </c>
    </row>
    <row r="18" customFormat="false" ht="33.75" hidden="false" customHeight="true" outlineLevel="0" collapsed="false">
      <c r="A18" s="11" t="s">
        <v>232</v>
      </c>
      <c r="B18" s="11" t="s">
        <v>31</v>
      </c>
      <c r="C18" s="5" t="s">
        <v>233</v>
      </c>
      <c r="D18" s="11" t="s">
        <v>234</v>
      </c>
      <c r="E18" s="11" t="s">
        <v>235</v>
      </c>
      <c r="F18" s="11" t="s">
        <v>47</v>
      </c>
      <c r="G18" s="14" t="s">
        <v>61</v>
      </c>
    </row>
    <row r="19" customFormat="false" ht="33.75" hidden="false" customHeight="true" outlineLevel="0" collapsed="false">
      <c r="A19" s="11" t="s">
        <v>236</v>
      </c>
      <c r="B19" s="11" t="s">
        <v>31</v>
      </c>
      <c r="C19" s="5" t="s">
        <v>237</v>
      </c>
      <c r="D19" s="11" t="s">
        <v>238</v>
      </c>
      <c r="E19" s="11" t="s">
        <v>239</v>
      </c>
      <c r="F19" s="11" t="s">
        <v>56</v>
      </c>
      <c r="G19" s="14" t="s">
        <v>61</v>
      </c>
    </row>
    <row r="20" customFormat="false" ht="33.75" hidden="false" customHeight="true" outlineLevel="0" collapsed="false">
      <c r="A20" s="11" t="s">
        <v>240</v>
      </c>
      <c r="B20" s="11" t="s">
        <v>31</v>
      </c>
      <c r="C20" s="5" t="s">
        <v>241</v>
      </c>
      <c r="D20" s="11" t="s">
        <v>242</v>
      </c>
      <c r="E20" s="11" t="s">
        <v>243</v>
      </c>
      <c r="F20" s="11" t="s">
        <v>47</v>
      </c>
      <c r="G20" s="14" t="s">
        <v>61</v>
      </c>
    </row>
    <row r="21" customFormat="false" ht="33.75" hidden="false" customHeight="true" outlineLevel="0" collapsed="false">
      <c r="A21" s="11" t="s">
        <v>244</v>
      </c>
      <c r="B21" s="11" t="s">
        <v>31</v>
      </c>
      <c r="C21" s="5" t="s">
        <v>245</v>
      </c>
      <c r="D21" s="11" t="s">
        <v>246</v>
      </c>
      <c r="E21" s="11" t="s">
        <v>247</v>
      </c>
      <c r="F21" s="11" t="s">
        <v>47</v>
      </c>
      <c r="G21" s="15" t="s">
        <v>79</v>
      </c>
    </row>
    <row r="22" customFormat="false" ht="33.75" hidden="false" customHeight="true" outlineLevel="0" collapsed="false">
      <c r="A22" s="11" t="s">
        <v>248</v>
      </c>
      <c r="B22" s="11" t="s">
        <v>31</v>
      </c>
      <c r="C22" s="5" t="s">
        <v>249</v>
      </c>
      <c r="D22" s="11" t="s">
        <v>250</v>
      </c>
      <c r="E22" s="11" t="s">
        <v>251</v>
      </c>
      <c r="F22" s="11" t="s">
        <v>56</v>
      </c>
      <c r="G22" s="13" t="s">
        <v>48</v>
      </c>
    </row>
    <row r="23" customFormat="false" ht="33.75" hidden="false" customHeight="true" outlineLevel="0" collapsed="false">
      <c r="A23" s="11" t="s">
        <v>252</v>
      </c>
      <c r="B23" s="11" t="s">
        <v>31</v>
      </c>
      <c r="C23" s="5" t="s">
        <v>253</v>
      </c>
      <c r="D23" s="11" t="s">
        <v>254</v>
      </c>
      <c r="E23" s="11" t="s">
        <v>255</v>
      </c>
      <c r="F23" s="11" t="s">
        <v>56</v>
      </c>
      <c r="G23" s="14" t="s">
        <v>61</v>
      </c>
    </row>
    <row r="24" customFormat="false" ht="33.75" hidden="false" customHeight="true" outlineLevel="0" collapsed="false">
      <c r="A24" s="11" t="s">
        <v>256</v>
      </c>
      <c r="B24" s="11" t="s">
        <v>31</v>
      </c>
      <c r="C24" s="5" t="s">
        <v>257</v>
      </c>
      <c r="D24" s="11" t="s">
        <v>258</v>
      </c>
      <c r="E24" s="11" t="s">
        <v>259</v>
      </c>
      <c r="F24" s="11" t="s">
        <v>56</v>
      </c>
      <c r="G24" s="13" t="s">
        <v>48</v>
      </c>
    </row>
    <row r="25" customFormat="false" ht="33.75" hidden="false" customHeight="true" outlineLevel="0" collapsed="false">
      <c r="A25" s="11" t="s">
        <v>260</v>
      </c>
      <c r="B25" s="11" t="s">
        <v>31</v>
      </c>
      <c r="C25" s="5" t="s">
        <v>261</v>
      </c>
      <c r="D25" s="11" t="s">
        <v>262</v>
      </c>
      <c r="E25" s="11" t="s">
        <v>263</v>
      </c>
      <c r="F25" s="11" t="s">
        <v>56</v>
      </c>
      <c r="G25" s="15" t="s">
        <v>79</v>
      </c>
    </row>
    <row r="26" customFormat="false" ht="33.75" hidden="false" customHeight="true" outlineLevel="0" collapsed="false">
      <c r="A26" s="11" t="s">
        <v>264</v>
      </c>
      <c r="B26" s="11" t="s">
        <v>32</v>
      </c>
      <c r="C26" s="5" t="s">
        <v>265</v>
      </c>
      <c r="D26" s="11" t="s">
        <v>266</v>
      </c>
      <c r="E26" s="11" t="s">
        <v>267</v>
      </c>
      <c r="F26" s="11" t="s">
        <v>112</v>
      </c>
      <c r="G26" s="14" t="s">
        <v>61</v>
      </c>
    </row>
    <row r="27" customFormat="false" ht="33.75" hidden="false" customHeight="true" outlineLevel="0" collapsed="false">
      <c r="A27" s="11" t="s">
        <v>268</v>
      </c>
      <c r="B27" s="11" t="s">
        <v>32</v>
      </c>
      <c r="C27" s="5" t="s">
        <v>269</v>
      </c>
      <c r="D27" s="11" t="s">
        <v>266</v>
      </c>
      <c r="E27" s="11" t="s">
        <v>270</v>
      </c>
      <c r="F27" s="11" t="s">
        <v>112</v>
      </c>
      <c r="G27" s="14" t="s">
        <v>61</v>
      </c>
    </row>
    <row r="28" customFormat="false" ht="33.75" hidden="false" customHeight="true" outlineLevel="0" collapsed="false">
      <c r="A28" s="11" t="s">
        <v>271</v>
      </c>
      <c r="B28" s="11" t="s">
        <v>33</v>
      </c>
      <c r="C28" s="5" t="s">
        <v>272</v>
      </c>
      <c r="D28" s="11" t="s">
        <v>273</v>
      </c>
      <c r="E28" s="11" t="s">
        <v>274</v>
      </c>
      <c r="F28" s="11" t="s">
        <v>112</v>
      </c>
      <c r="G28" s="15" t="s">
        <v>79</v>
      </c>
    </row>
    <row r="29" customFormat="false" ht="15.75" hidden="false" customHeight="true" outlineLevel="0" collapsed="false">
      <c r="A29" s="11" t="s">
        <v>275</v>
      </c>
      <c r="B29" s="11" t="s">
        <v>33</v>
      </c>
      <c r="C29" s="5" t="s">
        <v>276</v>
      </c>
      <c r="D29" s="11" t="s">
        <v>273</v>
      </c>
      <c r="E29" s="11" t="s">
        <v>141</v>
      </c>
      <c r="F29" s="11" t="s">
        <v>112</v>
      </c>
      <c r="G29" s="15" t="s">
        <v>79</v>
      </c>
    </row>
    <row r="30" customFormat="false" ht="15.75" hidden="false" customHeight="true" outlineLevel="0" collapsed="false">
      <c r="A30" s="11" t="s">
        <v>277</v>
      </c>
      <c r="B30" s="11" t="s">
        <v>33</v>
      </c>
      <c r="C30" s="5" t="s">
        <v>278</v>
      </c>
      <c r="D30" s="11" t="s">
        <v>273</v>
      </c>
      <c r="E30" s="11" t="s">
        <v>279</v>
      </c>
      <c r="F30" s="11" t="s">
        <v>112</v>
      </c>
      <c r="G30" s="15" t="s">
        <v>79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5"/>
    <col collapsed="false" customWidth="true" hidden="false" outlineLevel="0" max="4" min="4" style="1" width="40"/>
    <col collapsed="false" customWidth="true" hidden="false" outlineLevel="0" max="26" min="5" style="1" width="8.71"/>
  </cols>
  <sheetData>
    <row r="1" customFormat="false" ht="19.5" hidden="false" customHeight="true" outlineLevel="0" collapsed="false">
      <c r="A1" s="9" t="s">
        <v>280</v>
      </c>
      <c r="B1" s="9"/>
      <c r="C1" s="9"/>
      <c r="D1" s="9"/>
    </row>
    <row r="2" customFormat="false" ht="15" hidden="false" customHeight="true" outlineLevel="0" collapsed="false">
      <c r="A2" s="10"/>
      <c r="B2" s="10"/>
      <c r="C2" s="10"/>
      <c r="D2" s="10"/>
    </row>
    <row r="4" customFormat="false" ht="15" hidden="false" customHeight="true" outlineLevel="0" collapsed="false">
      <c r="A4" s="7" t="s">
        <v>26</v>
      </c>
      <c r="B4" s="7" t="s">
        <v>281</v>
      </c>
      <c r="C4" s="7" t="s">
        <v>282</v>
      </c>
      <c r="D4" s="7" t="s">
        <v>283</v>
      </c>
    </row>
    <row r="5" customFormat="false" ht="30" hidden="false" customHeight="true" outlineLevel="0" collapsed="false">
      <c r="A5" s="5" t="s">
        <v>28</v>
      </c>
      <c r="B5" s="11" t="s">
        <v>284</v>
      </c>
      <c r="C5" s="11" t="s">
        <v>284</v>
      </c>
      <c r="D5" s="11" t="s">
        <v>285</v>
      </c>
    </row>
    <row r="6" customFormat="false" ht="30" hidden="false" customHeight="true" outlineLevel="0" collapsed="false">
      <c r="A6" s="5" t="s">
        <v>29</v>
      </c>
      <c r="B6" s="11" t="s">
        <v>284</v>
      </c>
      <c r="C6" s="11" t="s">
        <v>284</v>
      </c>
      <c r="D6" s="11" t="s">
        <v>285</v>
      </c>
    </row>
    <row r="7" customFormat="false" ht="30" hidden="false" customHeight="true" outlineLevel="0" collapsed="false">
      <c r="A7" s="5" t="s">
        <v>30</v>
      </c>
      <c r="B7" s="11" t="s">
        <v>209</v>
      </c>
      <c r="C7" s="11" t="s">
        <v>209</v>
      </c>
      <c r="D7" s="11" t="s">
        <v>112</v>
      </c>
    </row>
    <row r="8" customFormat="false" ht="30" hidden="false" customHeight="true" outlineLevel="0" collapsed="false">
      <c r="A8" s="5" t="s">
        <v>31</v>
      </c>
      <c r="B8" s="11" t="s">
        <v>286</v>
      </c>
      <c r="C8" s="11" t="s">
        <v>287</v>
      </c>
      <c r="D8" s="11" t="s">
        <v>288</v>
      </c>
    </row>
    <row r="9" customFormat="false" ht="30" hidden="false" customHeight="true" outlineLevel="0" collapsed="false">
      <c r="A9" s="5" t="s">
        <v>32</v>
      </c>
      <c r="B9" s="11" t="s">
        <v>287</v>
      </c>
      <c r="C9" s="11" t="s">
        <v>289</v>
      </c>
      <c r="D9" s="11" t="s">
        <v>112</v>
      </c>
    </row>
    <row r="10" customFormat="false" ht="30" hidden="false" customHeight="true" outlineLevel="0" collapsed="false">
      <c r="A10" s="5" t="s">
        <v>33</v>
      </c>
      <c r="B10" s="11" t="s">
        <v>289</v>
      </c>
      <c r="C10" s="11" t="s">
        <v>290</v>
      </c>
      <c r="D10" s="11" t="s">
        <v>112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55"/>
    <col collapsed="false" customWidth="true" hidden="false" outlineLevel="0" max="4" min="4" style="1" width="13"/>
    <col collapsed="false" customWidth="true" hidden="false" outlineLevel="0" max="26" min="5" style="1" width="8.71"/>
  </cols>
  <sheetData>
    <row r="1" customFormat="false" ht="19.5" hidden="false" customHeight="true" outlineLevel="0" collapsed="false">
      <c r="A1" s="9" t="s">
        <v>291</v>
      </c>
      <c r="B1" s="9"/>
      <c r="C1" s="9"/>
      <c r="D1" s="9"/>
    </row>
    <row r="4" customFormat="false" ht="15" hidden="false" customHeight="true" outlineLevel="0" collapsed="false">
      <c r="A4" s="7" t="s">
        <v>292</v>
      </c>
      <c r="B4" s="7" t="s">
        <v>293</v>
      </c>
      <c r="C4" s="7" t="s">
        <v>294</v>
      </c>
      <c r="D4" s="7" t="s">
        <v>41</v>
      </c>
    </row>
    <row r="5" customFormat="false" ht="34.5" hidden="false" customHeight="true" outlineLevel="0" collapsed="false">
      <c r="A5" s="11" t="s">
        <v>295</v>
      </c>
      <c r="B5" s="11" t="s">
        <v>296</v>
      </c>
      <c r="C5" s="5" t="s">
        <v>297</v>
      </c>
      <c r="D5" s="13" t="s">
        <v>48</v>
      </c>
    </row>
    <row r="6" customFormat="false" ht="34.5" hidden="false" customHeight="true" outlineLevel="0" collapsed="false">
      <c r="A6" s="11" t="s">
        <v>298</v>
      </c>
      <c r="B6" s="11" t="s">
        <v>299</v>
      </c>
      <c r="C6" s="5" t="s">
        <v>300</v>
      </c>
      <c r="D6" s="13" t="s">
        <v>48</v>
      </c>
    </row>
    <row r="7" customFormat="false" ht="34.5" hidden="false" customHeight="true" outlineLevel="0" collapsed="false">
      <c r="A7" s="11" t="s">
        <v>301</v>
      </c>
      <c r="B7" s="11" t="s">
        <v>302</v>
      </c>
      <c r="C7" s="5" t="s">
        <v>303</v>
      </c>
      <c r="D7" s="14" t="s">
        <v>61</v>
      </c>
    </row>
    <row r="8" customFormat="false" ht="34.5" hidden="false" customHeight="true" outlineLevel="0" collapsed="false">
      <c r="A8" s="11" t="s">
        <v>304</v>
      </c>
      <c r="B8" s="11" t="s">
        <v>305</v>
      </c>
      <c r="C8" s="5" t="s">
        <v>306</v>
      </c>
      <c r="D8" s="15" t="s">
        <v>79</v>
      </c>
    </row>
    <row r="9" customFormat="false" ht="34.5" hidden="false" customHeight="true" outlineLevel="0" collapsed="false">
      <c r="A9" s="11" t="s">
        <v>307</v>
      </c>
      <c r="B9" s="11" t="s">
        <v>308</v>
      </c>
      <c r="C9" s="5" t="s">
        <v>309</v>
      </c>
      <c r="D9" s="15" t="s">
        <v>79</v>
      </c>
    </row>
    <row r="10" customFormat="false" ht="34.5" hidden="false" customHeight="true" outlineLevel="0" collapsed="false">
      <c r="A10" s="11" t="s">
        <v>310</v>
      </c>
      <c r="B10" s="11" t="s">
        <v>311</v>
      </c>
      <c r="C10" s="5" t="s">
        <v>312</v>
      </c>
      <c r="D10" s="15" t="s">
        <v>79</v>
      </c>
    </row>
    <row r="11" customFormat="false" ht="34.5" hidden="false" customHeight="true" outlineLevel="0" collapsed="false">
      <c r="A11" s="11" t="s">
        <v>313</v>
      </c>
      <c r="B11" s="11" t="s">
        <v>314</v>
      </c>
      <c r="C11" s="5" t="s">
        <v>315</v>
      </c>
      <c r="D11" s="14" t="s">
        <v>61</v>
      </c>
    </row>
    <row r="12" customFormat="false" ht="34.5" hidden="false" customHeight="true" outlineLevel="0" collapsed="false">
      <c r="A12" s="11" t="s">
        <v>316</v>
      </c>
      <c r="B12" s="11" t="s">
        <v>317</v>
      </c>
      <c r="C12" s="5" t="s">
        <v>318</v>
      </c>
      <c r="D12" s="14" t="s">
        <v>61</v>
      </c>
    </row>
    <row r="13" customFormat="false" ht="34.5" hidden="false" customHeight="true" outlineLevel="0" collapsed="false">
      <c r="A13" s="11" t="s">
        <v>319</v>
      </c>
      <c r="B13" s="11" t="s">
        <v>320</v>
      </c>
      <c r="C13" s="5" t="s">
        <v>321</v>
      </c>
      <c r="D13" s="15" t="s">
        <v>79</v>
      </c>
    </row>
    <row r="14" customFormat="false" ht="34.5" hidden="false" customHeight="true" outlineLevel="0" collapsed="false">
      <c r="A14" s="11" t="s">
        <v>322</v>
      </c>
      <c r="B14" s="11" t="s">
        <v>323</v>
      </c>
      <c r="C14" s="5" t="s">
        <v>324</v>
      </c>
      <c r="D14" s="14" t="s">
        <v>61</v>
      </c>
    </row>
    <row r="15" customFormat="false" ht="34.5" hidden="false" customHeight="true" outlineLevel="0" collapsed="false">
      <c r="A15" s="11" t="s">
        <v>325</v>
      </c>
      <c r="B15" s="11" t="s">
        <v>326</v>
      </c>
      <c r="C15" s="5" t="s">
        <v>327</v>
      </c>
      <c r="D15" s="13" t="s">
        <v>48</v>
      </c>
    </row>
    <row r="16" customFormat="false" ht="34.5" hidden="false" customHeight="true" outlineLevel="0" collapsed="false">
      <c r="A16" s="11" t="s">
        <v>109</v>
      </c>
      <c r="B16" s="11" t="s">
        <v>328</v>
      </c>
      <c r="C16" s="5" t="s">
        <v>329</v>
      </c>
      <c r="D16" s="14" t="s">
        <v>61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60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26" min="6" style="1" width="8.71"/>
  </cols>
  <sheetData>
    <row r="1" customFormat="false" ht="19.5" hidden="false" customHeight="true" outlineLevel="0" collapsed="false">
      <c r="A1" s="9" t="s">
        <v>330</v>
      </c>
      <c r="B1" s="9"/>
      <c r="C1" s="9"/>
      <c r="D1" s="9"/>
      <c r="E1" s="9"/>
    </row>
    <row r="2" customFormat="false" ht="15" hidden="false" customHeight="true" outlineLevel="0" collapsed="false">
      <c r="A2" s="10"/>
      <c r="B2" s="10"/>
      <c r="C2" s="10"/>
      <c r="D2" s="10"/>
      <c r="E2" s="10"/>
    </row>
    <row r="4" customFormat="false" ht="15" hidden="false" customHeight="true" outlineLevel="0" collapsed="false">
      <c r="A4" s="7" t="s">
        <v>331</v>
      </c>
      <c r="B4" s="7" t="s">
        <v>332</v>
      </c>
      <c r="C4" s="7" t="s">
        <v>333</v>
      </c>
      <c r="D4" s="7" t="s">
        <v>40</v>
      </c>
      <c r="E4" s="7" t="s">
        <v>41</v>
      </c>
    </row>
    <row r="5" customFormat="false" ht="45" hidden="false" customHeight="true" outlineLevel="0" collapsed="false">
      <c r="A5" s="11" t="s">
        <v>334</v>
      </c>
      <c r="B5" s="11" t="s">
        <v>335</v>
      </c>
      <c r="C5" s="5" t="s">
        <v>336</v>
      </c>
      <c r="D5" s="11" t="s">
        <v>112</v>
      </c>
      <c r="E5" s="15" t="s">
        <v>79</v>
      </c>
    </row>
    <row r="6" customFormat="false" ht="45" hidden="false" customHeight="true" outlineLevel="0" collapsed="false">
      <c r="A6" s="11" t="s">
        <v>337</v>
      </c>
      <c r="B6" s="11" t="s">
        <v>338</v>
      </c>
      <c r="C6" s="5" t="s">
        <v>339</v>
      </c>
      <c r="D6" s="11" t="s">
        <v>112</v>
      </c>
      <c r="E6" s="15" t="s">
        <v>79</v>
      </c>
    </row>
    <row r="7" customFormat="false" ht="45" hidden="false" customHeight="true" outlineLevel="0" collapsed="false">
      <c r="A7" s="11" t="s">
        <v>340</v>
      </c>
      <c r="B7" s="11" t="s">
        <v>341</v>
      </c>
      <c r="C7" s="5" t="s">
        <v>342</v>
      </c>
      <c r="D7" s="11" t="s">
        <v>112</v>
      </c>
      <c r="E7" s="15" t="s">
        <v>79</v>
      </c>
    </row>
    <row r="8" customFormat="false" ht="45" hidden="false" customHeight="true" outlineLevel="0" collapsed="false">
      <c r="A8" s="11" t="s">
        <v>343</v>
      </c>
      <c r="B8" s="11" t="s">
        <v>344</v>
      </c>
      <c r="C8" s="5" t="s">
        <v>345</v>
      </c>
      <c r="D8" s="11" t="s">
        <v>112</v>
      </c>
      <c r="E8" s="15" t="s">
        <v>79</v>
      </c>
    </row>
    <row r="9" customFormat="false" ht="45" hidden="false" customHeight="true" outlineLevel="0" collapsed="false">
      <c r="A9" s="11" t="s">
        <v>346</v>
      </c>
      <c r="B9" s="11" t="s">
        <v>284</v>
      </c>
      <c r="C9" s="5" t="s">
        <v>347</v>
      </c>
      <c r="D9" s="11" t="s">
        <v>112</v>
      </c>
      <c r="E9" s="15" t="s">
        <v>79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2026-09-22T23:23:28Z</dcterms:created>
  <dc:creator>openpyxl</dc:creator>
  <dc:description/>
  <dc:language>en-US</dc:language>
  <cp:lastModifiedBy/>
  <dcterms:modified xsi:type="dcterms:W3CDTF">2026-10-06T23:14:08Z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